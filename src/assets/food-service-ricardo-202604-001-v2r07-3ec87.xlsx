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unior/Documents/001 - PROJETOS/017-PETISCOS DAS GERAIS/010-Comercial/007 - Tabelas/2026.05-TABELAS/"/>
    </mc:Choice>
  </mc:AlternateContent>
  <xr:revisionPtr revIDLastSave="0" documentId="13_ncr:1_{72FDB86E-1B21-1845-AAC9-4C584857FB37}" xr6:coauthVersionLast="47" xr6:coauthVersionMax="47" xr10:uidLastSave="{00000000-0000-0000-0000-000000000000}"/>
  <bookViews>
    <workbookView xWindow="0" yWindow="600" windowWidth="28800" windowHeight="17400" xr2:uid="{3BD76E97-9305-E240-85D6-ED3317FDFC4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" i="1" l="1"/>
  <c r="R57" i="1"/>
  <c r="R56" i="1"/>
  <c r="R55" i="1"/>
  <c r="R54" i="1"/>
  <c r="R51" i="1"/>
  <c r="R47" i="1"/>
  <c r="R4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0" i="1"/>
  <c r="R8" i="1"/>
  <c r="R7" i="1"/>
  <c r="R6" i="1"/>
  <c r="Q55" i="1"/>
  <c r="O55" i="1"/>
  <c r="M55" i="1"/>
  <c r="K55" i="1"/>
  <c r="I55" i="1"/>
  <c r="H55" i="1"/>
  <c r="E55" i="1"/>
  <c r="Q58" i="1"/>
  <c r="Q57" i="1"/>
  <c r="Q56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23" i="1"/>
  <c r="O58" i="1"/>
  <c r="O57" i="1"/>
  <c r="O56" i="1"/>
  <c r="O54" i="1"/>
  <c r="O53" i="1"/>
  <c r="R53" i="1" s="1"/>
  <c r="O52" i="1"/>
  <c r="R52" i="1" s="1"/>
  <c r="O51" i="1"/>
  <c r="O50" i="1"/>
  <c r="R50" i="1" s="1"/>
  <c r="O49" i="1"/>
  <c r="R49" i="1" s="1"/>
  <c r="O48" i="1"/>
  <c r="R48" i="1" s="1"/>
  <c r="O47" i="1"/>
  <c r="O46" i="1"/>
  <c r="O45" i="1"/>
  <c r="R45" i="1" s="1"/>
  <c r="O44" i="1"/>
  <c r="R44" i="1" s="1"/>
  <c r="O43" i="1"/>
  <c r="R43" i="1" s="1"/>
  <c r="O42" i="1"/>
  <c r="R42" i="1" s="1"/>
  <c r="O41" i="1"/>
  <c r="R41" i="1" s="1"/>
  <c r="O40" i="1"/>
  <c r="R40" i="1" s="1"/>
  <c r="O39" i="1"/>
  <c r="R39" i="1" s="1"/>
  <c r="O38" i="1"/>
  <c r="R38" i="1" s="1"/>
  <c r="O37" i="1"/>
  <c r="R37" i="1" s="1"/>
  <c r="O36" i="1"/>
  <c r="R36" i="1" s="1"/>
  <c r="O35" i="1"/>
  <c r="R35" i="1" s="1"/>
  <c r="O34" i="1"/>
  <c r="R34" i="1" s="1"/>
  <c r="O33" i="1"/>
  <c r="R33" i="1" s="1"/>
  <c r="O32" i="1"/>
  <c r="R32" i="1" s="1"/>
  <c r="O31" i="1"/>
  <c r="R31" i="1" s="1"/>
  <c r="O30" i="1"/>
  <c r="R30" i="1" s="1"/>
  <c r="O29" i="1"/>
  <c r="R29" i="1" s="1"/>
  <c r="O28" i="1"/>
  <c r="R28" i="1" s="1"/>
  <c r="O27" i="1"/>
  <c r="R27" i="1" s="1"/>
  <c r="O26" i="1"/>
  <c r="R26" i="1" s="1"/>
  <c r="O25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R11" i="1" s="1"/>
  <c r="O10" i="1"/>
  <c r="O9" i="1"/>
  <c r="R9" i="1" s="1"/>
  <c r="O8" i="1"/>
  <c r="O7" i="1"/>
  <c r="O6" i="1"/>
  <c r="O24" i="1"/>
  <c r="K58" i="1"/>
  <c r="K57" i="1"/>
  <c r="K56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24" i="1"/>
  <c r="I26" i="1"/>
  <c r="I25" i="1"/>
  <c r="I24" i="1"/>
  <c r="I23" i="1"/>
  <c r="I22" i="1"/>
  <c r="I21" i="1"/>
  <c r="I20" i="1"/>
  <c r="I54" i="1"/>
  <c r="M54" i="1"/>
  <c r="H54" i="1"/>
  <c r="E54" i="1"/>
  <c r="T55" i="1" l="1"/>
  <c r="AN55" i="1" s="1"/>
  <c r="AO55" i="1" s="1"/>
  <c r="T54" i="1"/>
  <c r="AN54" i="1" s="1"/>
  <c r="AO54" i="1" s="1"/>
  <c r="X55" i="1" l="1"/>
  <c r="AJ55" i="1"/>
  <c r="AM55" i="1"/>
  <c r="Z55" i="1"/>
  <c r="AD55" i="1"/>
  <c r="AB55" i="1"/>
  <c r="AL55" i="1"/>
  <c r="V55" i="1"/>
  <c r="AF55" i="1"/>
  <c r="AH55" i="1"/>
  <c r="AJ54" i="1"/>
  <c r="V54" i="1"/>
  <c r="AL54" i="1"/>
  <c r="X54" i="1"/>
  <c r="AM54" i="1"/>
  <c r="AD54" i="1"/>
  <c r="Z54" i="1"/>
  <c r="AF54" i="1"/>
  <c r="AB54" i="1"/>
  <c r="AH54" i="1"/>
  <c r="M26" i="1" l="1"/>
  <c r="H26" i="1"/>
  <c r="E26" i="1"/>
  <c r="M58" i="1"/>
  <c r="E58" i="1"/>
  <c r="M57" i="1"/>
  <c r="E57" i="1"/>
  <c r="C49" i="1"/>
  <c r="E49" i="1" s="1"/>
  <c r="C47" i="1"/>
  <c r="E47" i="1" s="1"/>
  <c r="C46" i="1"/>
  <c r="E46" i="1" s="1"/>
  <c r="C48" i="1"/>
  <c r="E48" i="1" s="1"/>
  <c r="M49" i="1"/>
  <c r="M48" i="1"/>
  <c r="M47" i="1"/>
  <c r="M46" i="1"/>
  <c r="M34" i="1"/>
  <c r="H34" i="1"/>
  <c r="E34" i="1"/>
  <c r="M33" i="1"/>
  <c r="H33" i="1"/>
  <c r="E33" i="1"/>
  <c r="T26" i="1" l="1"/>
  <c r="AN26" i="1" s="1"/>
  <c r="AO26" i="1" s="1"/>
  <c r="E56" i="1"/>
  <c r="E53" i="1"/>
  <c r="E52" i="1"/>
  <c r="E51" i="1"/>
  <c r="E50" i="1"/>
  <c r="E45" i="1"/>
  <c r="E44" i="1"/>
  <c r="E43" i="1"/>
  <c r="E42" i="1"/>
  <c r="E41" i="1"/>
  <c r="E40" i="1"/>
  <c r="E39" i="1"/>
  <c r="E38" i="1"/>
  <c r="E37" i="1"/>
  <c r="E36" i="1"/>
  <c r="E35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M45" i="1"/>
  <c r="M44" i="1"/>
  <c r="M43" i="1"/>
  <c r="M42" i="1"/>
  <c r="AD26" i="1" l="1"/>
  <c r="AF26" i="1"/>
  <c r="V26" i="1"/>
  <c r="AL26" i="1"/>
  <c r="X26" i="1"/>
  <c r="AM26" i="1"/>
  <c r="Z26" i="1"/>
  <c r="AH26" i="1"/>
  <c r="AB26" i="1"/>
  <c r="AJ26" i="1"/>
  <c r="M35" i="1"/>
  <c r="H35" i="1"/>
  <c r="M31" i="1"/>
  <c r="H31" i="1"/>
  <c r="M30" i="1"/>
  <c r="H30" i="1"/>
  <c r="M27" i="1" l="1"/>
  <c r="H2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8" i="1"/>
  <c r="M29" i="1"/>
  <c r="M32" i="1"/>
  <c r="M36" i="1"/>
  <c r="M37" i="1"/>
  <c r="M56" i="1"/>
  <c r="M38" i="1"/>
  <c r="M39" i="1"/>
  <c r="M40" i="1"/>
  <c r="M41" i="1"/>
  <c r="M50" i="1"/>
  <c r="M51" i="1"/>
  <c r="M52" i="1"/>
  <c r="M53" i="1"/>
  <c r="H22" i="1"/>
  <c r="H23" i="1"/>
  <c r="M6" i="1"/>
  <c r="H6" i="1"/>
  <c r="AT78" i="1"/>
  <c r="AV78" i="1" s="1"/>
  <c r="AX78" i="1" s="1"/>
  <c r="G40" i="2"/>
  <c r="E37" i="2"/>
  <c r="I37" i="2" s="1"/>
  <c r="F35" i="2"/>
  <c r="F34" i="2"/>
  <c r="F33" i="2"/>
  <c r="F32" i="2"/>
  <c r="E33" i="2"/>
  <c r="I33" i="2" s="1"/>
  <c r="E34" i="2"/>
  <c r="I34" i="2" s="1"/>
  <c r="E35" i="2"/>
  <c r="I35" i="2" s="1"/>
  <c r="E36" i="2"/>
  <c r="I36" i="2" s="1"/>
  <c r="E32" i="2"/>
  <c r="I32" i="2" s="1"/>
  <c r="H32" i="2"/>
  <c r="G54" i="2"/>
  <c r="D52" i="2"/>
  <c r="H51" i="2"/>
  <c r="F51" i="2"/>
  <c r="E51" i="2"/>
  <c r="H50" i="2"/>
  <c r="F50" i="2"/>
  <c r="E50" i="2"/>
  <c r="I50" i="2" s="1"/>
  <c r="H49" i="2"/>
  <c r="F49" i="2"/>
  <c r="E49" i="2"/>
  <c r="I49" i="2" s="1"/>
  <c r="H48" i="2"/>
  <c r="F48" i="2"/>
  <c r="E48" i="2"/>
  <c r="I48" i="2" s="1"/>
  <c r="H47" i="2"/>
  <c r="F47" i="2"/>
  <c r="E47" i="2"/>
  <c r="I47" i="2" s="1"/>
  <c r="H46" i="2"/>
  <c r="F46" i="2"/>
  <c r="E46" i="2"/>
  <c r="H45" i="2"/>
  <c r="F45" i="2"/>
  <c r="E45" i="2"/>
  <c r="D38" i="2"/>
  <c r="H37" i="2"/>
  <c r="F37" i="2"/>
  <c r="H36" i="2"/>
  <c r="F36" i="2"/>
  <c r="H35" i="2"/>
  <c r="H34" i="2"/>
  <c r="H33" i="2"/>
  <c r="H31" i="2"/>
  <c r="F31" i="2"/>
  <c r="E31" i="2"/>
  <c r="G26" i="2"/>
  <c r="D24" i="2"/>
  <c r="H23" i="2"/>
  <c r="F23" i="2"/>
  <c r="E23" i="2"/>
  <c r="I23" i="2" s="1"/>
  <c r="H22" i="2"/>
  <c r="F22" i="2"/>
  <c r="E22" i="2"/>
  <c r="I22" i="2" s="1"/>
  <c r="H21" i="2"/>
  <c r="F21" i="2"/>
  <c r="E21" i="2"/>
  <c r="I21" i="2" s="1"/>
  <c r="H20" i="2"/>
  <c r="F20" i="2"/>
  <c r="E20" i="2"/>
  <c r="H19" i="2"/>
  <c r="F19" i="2"/>
  <c r="E19" i="2"/>
  <c r="I19" i="2" s="1"/>
  <c r="H18" i="2"/>
  <c r="F18" i="2"/>
  <c r="E18" i="2"/>
  <c r="H17" i="2"/>
  <c r="F17" i="2"/>
  <c r="E17" i="2"/>
  <c r="G12" i="2"/>
  <c r="D10" i="2"/>
  <c r="C10" i="2"/>
  <c r="H9" i="2"/>
  <c r="F9" i="2"/>
  <c r="E9" i="2"/>
  <c r="I9" i="2" s="1"/>
  <c r="H8" i="2"/>
  <c r="F8" i="2"/>
  <c r="E8" i="2"/>
  <c r="I8" i="2" s="1"/>
  <c r="H7" i="2"/>
  <c r="F7" i="2"/>
  <c r="E7" i="2"/>
  <c r="I7" i="2" s="1"/>
  <c r="H6" i="2"/>
  <c r="F6" i="2"/>
  <c r="E6" i="2"/>
  <c r="I6" i="2" s="1"/>
  <c r="H5" i="2"/>
  <c r="F5" i="2"/>
  <c r="E5" i="2"/>
  <c r="H4" i="2"/>
  <c r="F4" i="2"/>
  <c r="E4" i="2"/>
  <c r="I4" i="2" s="1"/>
  <c r="H3" i="2"/>
  <c r="F3" i="2"/>
  <c r="E3" i="2"/>
  <c r="AT110" i="1"/>
  <c r="AT109" i="1"/>
  <c r="H48" i="1" s="1"/>
  <c r="AT108" i="1"/>
  <c r="AT107" i="1"/>
  <c r="H46" i="1" s="1"/>
  <c r="H41" i="1"/>
  <c r="H40" i="1"/>
  <c r="H39" i="1"/>
  <c r="H38" i="1"/>
  <c r="H56" i="1"/>
  <c r="H37" i="1"/>
  <c r="H36" i="1"/>
  <c r="H32" i="1"/>
  <c r="H29" i="1"/>
  <c r="H28" i="1"/>
  <c r="H25" i="1"/>
  <c r="H24" i="1"/>
  <c r="H21" i="1"/>
  <c r="H20" i="1"/>
  <c r="H11" i="1"/>
  <c r="H10" i="1"/>
  <c r="H9" i="1"/>
  <c r="H8" i="1"/>
  <c r="H7" i="1"/>
  <c r="AT97" i="1"/>
  <c r="AV97" i="1" s="1"/>
  <c r="AX97" i="1" s="1"/>
  <c r="AT96" i="1"/>
  <c r="AU96" i="1" s="1"/>
  <c r="AT95" i="1"/>
  <c r="AV95" i="1" s="1"/>
  <c r="AX95" i="1" s="1"/>
  <c r="AT94" i="1"/>
  <c r="AU94" i="1" s="1"/>
  <c r="AT93" i="1"/>
  <c r="AV93" i="1" s="1"/>
  <c r="AX93" i="1" s="1"/>
  <c r="AT80" i="1"/>
  <c r="AV80" i="1" s="1"/>
  <c r="AX80" i="1" s="1"/>
  <c r="AT79" i="1"/>
  <c r="AV79" i="1" s="1"/>
  <c r="AX79" i="1" s="1"/>
  <c r="AT77" i="1"/>
  <c r="AV77" i="1" s="1"/>
  <c r="AX77" i="1" s="1"/>
  <c r="AT76" i="1"/>
  <c r="AU76" i="1" s="1"/>
  <c r="AX65" i="1"/>
  <c r="AT63" i="1"/>
  <c r="AU63" i="1" s="1"/>
  <c r="AX62" i="1"/>
  <c r="AT61" i="1"/>
  <c r="AV61" i="1" s="1"/>
  <c r="AX61" i="1" s="1"/>
  <c r="AT60" i="1"/>
  <c r="AU60" i="1" s="1"/>
  <c r="AT59" i="1"/>
  <c r="AV59" i="1" s="1"/>
  <c r="AX59" i="1" s="1"/>
  <c r="AX48" i="1"/>
  <c r="AT46" i="1"/>
  <c r="AV46" i="1" s="1"/>
  <c r="AX46" i="1" s="1"/>
  <c r="AT45" i="1"/>
  <c r="AV45" i="1" s="1"/>
  <c r="AX45" i="1" s="1"/>
  <c r="AT44" i="1"/>
  <c r="AU44" i="1" s="1"/>
  <c r="AT43" i="1"/>
  <c r="AV43" i="1" s="1"/>
  <c r="AX43" i="1" s="1"/>
  <c r="AT42" i="1"/>
  <c r="AV42" i="1" s="1"/>
  <c r="AX42" i="1" s="1"/>
  <c r="AX31" i="1"/>
  <c r="AT29" i="1"/>
  <c r="AT28" i="1"/>
  <c r="AV28" i="1" s="1"/>
  <c r="AX28" i="1" s="1"/>
  <c r="AT27" i="1"/>
  <c r="AT26" i="1"/>
  <c r="AV26" i="1" s="1"/>
  <c r="AX26" i="1" s="1"/>
  <c r="AX15" i="1"/>
  <c r="AT13" i="1"/>
  <c r="AV13" i="1" s="1"/>
  <c r="AX13" i="1" s="1"/>
  <c r="AT12" i="1"/>
  <c r="AV12" i="1" s="1"/>
  <c r="AX12" i="1" s="1"/>
  <c r="AT11" i="1"/>
  <c r="AT10" i="1"/>
  <c r="AV10" i="1" s="1"/>
  <c r="AX10" i="1" s="1"/>
  <c r="H49" i="1" l="1"/>
  <c r="H57" i="1"/>
  <c r="H47" i="1"/>
  <c r="H58" i="1"/>
  <c r="H52" i="2"/>
  <c r="H10" i="2"/>
  <c r="E52" i="2"/>
  <c r="C53" i="2" s="1"/>
  <c r="E10" i="2"/>
  <c r="G5" i="2" s="1"/>
  <c r="H24" i="2"/>
  <c r="H51" i="1"/>
  <c r="H43" i="1"/>
  <c r="H53" i="1"/>
  <c r="H45" i="1"/>
  <c r="H16" i="1"/>
  <c r="H42" i="1"/>
  <c r="H52" i="1"/>
  <c r="H44" i="1"/>
  <c r="H15" i="1"/>
  <c r="H19" i="1"/>
  <c r="H17" i="1"/>
  <c r="H14" i="1"/>
  <c r="H50" i="1"/>
  <c r="H18" i="1"/>
  <c r="T23" i="1"/>
  <c r="AN23" i="1" s="1"/>
  <c r="T22" i="1"/>
  <c r="AN22" i="1" s="1"/>
  <c r="H13" i="1"/>
  <c r="AU78" i="1"/>
  <c r="H38" i="2"/>
  <c r="I46" i="2"/>
  <c r="I5" i="2"/>
  <c r="I10" i="2" s="1"/>
  <c r="K12" i="2" s="1"/>
  <c r="I20" i="2"/>
  <c r="E24" i="2"/>
  <c r="G23" i="2" s="1"/>
  <c r="I38" i="2"/>
  <c r="I51" i="2"/>
  <c r="E38" i="2"/>
  <c r="G35" i="2" s="1"/>
  <c r="I18" i="2"/>
  <c r="H12" i="1"/>
  <c r="AU45" i="1"/>
  <c r="AV44" i="1"/>
  <c r="AX44" i="1" s="1"/>
  <c r="AX47" i="1" s="1"/>
  <c r="AX49" i="1" s="1"/>
  <c r="AX52" i="1" s="1"/>
  <c r="T20" i="1"/>
  <c r="AN20" i="1" s="1"/>
  <c r="AV63" i="1"/>
  <c r="AX63" i="1" s="1"/>
  <c r="AU12" i="1"/>
  <c r="AV94" i="1"/>
  <c r="AX94" i="1" s="1"/>
  <c r="T21" i="1"/>
  <c r="AN21" i="1" s="1"/>
  <c r="T24" i="1"/>
  <c r="AN24" i="1" s="1"/>
  <c r="AU26" i="1"/>
  <c r="AU79" i="1"/>
  <c r="AU13" i="1"/>
  <c r="AV60" i="1"/>
  <c r="AX60" i="1" s="1"/>
  <c r="AV76" i="1"/>
  <c r="AX76" i="1" s="1"/>
  <c r="AX83" i="1" s="1"/>
  <c r="AX86" i="1" s="1"/>
  <c r="AV96" i="1"/>
  <c r="AX96" i="1" s="1"/>
  <c r="AU10" i="1"/>
  <c r="AU28" i="1"/>
  <c r="AV27" i="1"/>
  <c r="AX27" i="1" s="1"/>
  <c r="AU27" i="1"/>
  <c r="AV29" i="1"/>
  <c r="AX29" i="1" s="1"/>
  <c r="AU29" i="1"/>
  <c r="AV11" i="1"/>
  <c r="AX11" i="1" s="1"/>
  <c r="AX14" i="1" s="1"/>
  <c r="AU11" i="1"/>
  <c r="AU43" i="1"/>
  <c r="AU59" i="1"/>
  <c r="AU61" i="1"/>
  <c r="AU77" i="1"/>
  <c r="AU93" i="1"/>
  <c r="AU95" i="1"/>
  <c r="AU97" i="1"/>
  <c r="AU42" i="1"/>
  <c r="AU80" i="1"/>
  <c r="AU46" i="1"/>
  <c r="I46" i="1" l="1"/>
  <c r="I43" i="1"/>
  <c r="T43" i="1" s="1"/>
  <c r="AN43" i="1" s="1"/>
  <c r="I42" i="1"/>
  <c r="T42" i="1" s="1"/>
  <c r="AN42" i="1" s="1"/>
  <c r="I53" i="1"/>
  <c r="I45" i="1"/>
  <c r="T45" i="1" s="1"/>
  <c r="AN45" i="1" s="1"/>
  <c r="I51" i="1"/>
  <c r="I58" i="1"/>
  <c r="T58" i="1" s="1"/>
  <c r="AN58" i="1" s="1"/>
  <c r="I50" i="1"/>
  <c r="I52" i="1"/>
  <c r="I44" i="1"/>
  <c r="T44" i="1" s="1"/>
  <c r="AN44" i="1" s="1"/>
  <c r="I57" i="1"/>
  <c r="T57" i="1" s="1"/>
  <c r="AN57" i="1" s="1"/>
  <c r="I49" i="1"/>
  <c r="I47" i="1"/>
  <c r="I48" i="1"/>
  <c r="T48" i="1" s="1"/>
  <c r="AN48" i="1" s="1"/>
  <c r="I6" i="1"/>
  <c r="I29" i="1"/>
  <c r="I27" i="1"/>
  <c r="I9" i="1"/>
  <c r="G46" i="2"/>
  <c r="G48" i="2"/>
  <c r="G49" i="2"/>
  <c r="G51" i="2"/>
  <c r="G50" i="2"/>
  <c r="C11" i="2"/>
  <c r="G7" i="2"/>
  <c r="G10" i="2"/>
  <c r="G4" i="2"/>
  <c r="G47" i="2"/>
  <c r="G45" i="2"/>
  <c r="G6" i="2"/>
  <c r="G8" i="2"/>
  <c r="G9" i="2"/>
  <c r="G3" i="2"/>
  <c r="I52" i="2"/>
  <c r="G18" i="2"/>
  <c r="T46" i="1"/>
  <c r="AN46" i="1" s="1"/>
  <c r="T49" i="1"/>
  <c r="AN49" i="1" s="1"/>
  <c r="T47" i="1"/>
  <c r="AN47" i="1" s="1"/>
  <c r="AO24" i="1"/>
  <c r="AM22" i="1"/>
  <c r="AD22" i="1"/>
  <c r="AM20" i="1"/>
  <c r="AD20" i="1"/>
  <c r="AM21" i="1"/>
  <c r="AD21" i="1"/>
  <c r="AM23" i="1"/>
  <c r="AD23" i="1"/>
  <c r="AM24" i="1"/>
  <c r="AD24" i="1"/>
  <c r="AX66" i="1"/>
  <c r="AX69" i="1" s="1"/>
  <c r="T25" i="1"/>
  <c r="AN25" i="1" s="1"/>
  <c r="G34" i="2"/>
  <c r="G38" i="2"/>
  <c r="C39" i="2"/>
  <c r="G36" i="2"/>
  <c r="G31" i="2"/>
  <c r="G33" i="2"/>
  <c r="G37" i="2"/>
  <c r="I24" i="2"/>
  <c r="G32" i="2"/>
  <c r="C25" i="2"/>
  <c r="G21" i="2"/>
  <c r="G19" i="2"/>
  <c r="G22" i="2"/>
  <c r="G17" i="2"/>
  <c r="G24" i="2"/>
  <c r="G20" i="2"/>
  <c r="AX98" i="1"/>
  <c r="AT98" i="1" s="1"/>
  <c r="AX30" i="1"/>
  <c r="AX32" i="1" s="1"/>
  <c r="AX35" i="1" s="1"/>
  <c r="AX16" i="1"/>
  <c r="AX19" i="1" s="1"/>
  <c r="AT47" i="1"/>
  <c r="AT14" i="1"/>
  <c r="I11" i="1" l="1"/>
  <c r="I37" i="1"/>
  <c r="T37" i="1" s="1"/>
  <c r="AN37" i="1" s="1"/>
  <c r="I41" i="1"/>
  <c r="I35" i="1"/>
  <c r="T35" i="1" s="1"/>
  <c r="AN35" i="1" s="1"/>
  <c r="I10" i="1"/>
  <c r="I40" i="1"/>
  <c r="T40" i="1" s="1"/>
  <c r="AN40" i="1" s="1"/>
  <c r="I39" i="1"/>
  <c r="T39" i="1" s="1"/>
  <c r="AN39" i="1" s="1"/>
  <c r="I7" i="1"/>
  <c r="I33" i="1"/>
  <c r="I8" i="1"/>
  <c r="I38" i="1"/>
  <c r="I36" i="1"/>
  <c r="I34" i="1"/>
  <c r="T34" i="1" s="1"/>
  <c r="AN34" i="1" s="1"/>
  <c r="I32" i="1"/>
  <c r="T32" i="1" s="1"/>
  <c r="AN32" i="1" s="1"/>
  <c r="I30" i="1"/>
  <c r="T30" i="1" s="1"/>
  <c r="AN30" i="1" s="1"/>
  <c r="I56" i="1"/>
  <c r="I28" i="1"/>
  <c r="I31" i="1"/>
  <c r="T31" i="1" s="1"/>
  <c r="AN31" i="1" s="1"/>
  <c r="AO58" i="1"/>
  <c r="AH58" i="1"/>
  <c r="Z58" i="1"/>
  <c r="AD58" i="1"/>
  <c r="AJ58" i="1"/>
  <c r="AB58" i="1"/>
  <c r="AF58" i="1"/>
  <c r="AM58" i="1"/>
  <c r="X58" i="1"/>
  <c r="AL58" i="1"/>
  <c r="V58" i="1"/>
  <c r="X57" i="1"/>
  <c r="AB57" i="1"/>
  <c r="AF57" i="1"/>
  <c r="AD57" i="1"/>
  <c r="AH57" i="1"/>
  <c r="AL57" i="1"/>
  <c r="V57" i="1"/>
  <c r="AJ57" i="1"/>
  <c r="Z57" i="1"/>
  <c r="AM57" i="1"/>
  <c r="AO57" i="1"/>
  <c r="AL48" i="1"/>
  <c r="V48" i="1"/>
  <c r="AJ48" i="1"/>
  <c r="AH48" i="1"/>
  <c r="AF48" i="1"/>
  <c r="AD48" i="1"/>
  <c r="AO48" i="1"/>
  <c r="AB48" i="1"/>
  <c r="Z48" i="1"/>
  <c r="AM48" i="1"/>
  <c r="X48" i="1"/>
  <c r="AF47" i="1"/>
  <c r="AD47" i="1"/>
  <c r="AO47" i="1"/>
  <c r="AB47" i="1"/>
  <c r="Z47" i="1"/>
  <c r="AM47" i="1"/>
  <c r="X47" i="1"/>
  <c r="AL47" i="1"/>
  <c r="V47" i="1"/>
  <c r="AJ47" i="1"/>
  <c r="AH47" i="1"/>
  <c r="AO49" i="1"/>
  <c r="AB49" i="1"/>
  <c r="Z49" i="1"/>
  <c r="AM49" i="1"/>
  <c r="X49" i="1"/>
  <c r="AL49" i="1"/>
  <c r="V49" i="1"/>
  <c r="AJ49" i="1"/>
  <c r="AH49" i="1"/>
  <c r="AF49" i="1"/>
  <c r="AD49" i="1"/>
  <c r="Z46" i="1"/>
  <c r="AM46" i="1"/>
  <c r="X46" i="1"/>
  <c r="AL46" i="1"/>
  <c r="V46" i="1"/>
  <c r="AJ46" i="1"/>
  <c r="AH46" i="1"/>
  <c r="AF46" i="1"/>
  <c r="AD46" i="1"/>
  <c r="AO46" i="1"/>
  <c r="AB46" i="1"/>
  <c r="T28" i="1"/>
  <c r="AN28" i="1" s="1"/>
  <c r="T36" i="1"/>
  <c r="AN36" i="1" s="1"/>
  <c r="T33" i="1"/>
  <c r="AN33" i="1" s="1"/>
  <c r="AO25" i="1"/>
  <c r="AM44" i="1"/>
  <c r="X44" i="1"/>
  <c r="AJ44" i="1"/>
  <c r="AL44" i="1"/>
  <c r="V44" i="1"/>
  <c r="AH44" i="1"/>
  <c r="AF44" i="1"/>
  <c r="AD44" i="1"/>
  <c r="AO44" i="1"/>
  <c r="AB44" i="1"/>
  <c r="Z44" i="1"/>
  <c r="AD45" i="1"/>
  <c r="AO45" i="1"/>
  <c r="AB45" i="1"/>
  <c r="Z45" i="1"/>
  <c r="AM45" i="1"/>
  <c r="X45" i="1"/>
  <c r="AL45" i="1"/>
  <c r="V45" i="1"/>
  <c r="AJ45" i="1"/>
  <c r="AH45" i="1"/>
  <c r="AF45" i="1"/>
  <c r="AO42" i="1"/>
  <c r="AB42" i="1"/>
  <c r="Z42" i="1"/>
  <c r="X42" i="1"/>
  <c r="AF42" i="1"/>
  <c r="AL42" i="1"/>
  <c r="V42" i="1"/>
  <c r="AJ42" i="1"/>
  <c r="AH42" i="1"/>
  <c r="AD42" i="1"/>
  <c r="AM42" i="1"/>
  <c r="AH43" i="1"/>
  <c r="AF43" i="1"/>
  <c r="AD43" i="1"/>
  <c r="AO43" i="1"/>
  <c r="AB43" i="1"/>
  <c r="Z43" i="1"/>
  <c r="AM43" i="1"/>
  <c r="X43" i="1"/>
  <c r="AL43" i="1"/>
  <c r="V43" i="1"/>
  <c r="AJ43" i="1"/>
  <c r="T41" i="1"/>
  <c r="AN41" i="1" s="1"/>
  <c r="T56" i="1"/>
  <c r="AN56" i="1" s="1"/>
  <c r="AM25" i="1"/>
  <c r="AD25" i="1"/>
  <c r="T50" i="1"/>
  <c r="AN50" i="1" s="1"/>
  <c r="T52" i="1"/>
  <c r="AN52" i="1" s="1"/>
  <c r="T9" i="1"/>
  <c r="AN9" i="1" s="1"/>
  <c r="T51" i="1"/>
  <c r="AN51" i="1" s="1"/>
  <c r="T29" i="1"/>
  <c r="AN29" i="1" s="1"/>
  <c r="T53" i="1"/>
  <c r="AN53" i="1" s="1"/>
  <c r="T27" i="1"/>
  <c r="AN27" i="1" s="1"/>
  <c r="AB21" i="1"/>
  <c r="AH21" i="1"/>
  <c r="X21" i="1"/>
  <c r="Z21" i="1"/>
  <c r="AF21" i="1"/>
  <c r="AL21" i="1"/>
  <c r="AJ21" i="1"/>
  <c r="V21" i="1"/>
  <c r="Z20" i="1"/>
  <c r="V20" i="1"/>
  <c r="AH20" i="1"/>
  <c r="X20" i="1"/>
  <c r="AF20" i="1"/>
  <c r="AL20" i="1"/>
  <c r="AB20" i="1"/>
  <c r="AJ20" i="1"/>
  <c r="AO23" i="1"/>
  <c r="AP23" i="1" s="1"/>
  <c r="AF23" i="1"/>
  <c r="Z23" i="1"/>
  <c r="V23" i="1"/>
  <c r="AB23" i="1"/>
  <c r="AH23" i="1"/>
  <c r="AL23" i="1"/>
  <c r="X23" i="1"/>
  <c r="AJ23" i="1"/>
  <c r="Z24" i="1"/>
  <c r="X24" i="1"/>
  <c r="V24" i="1"/>
  <c r="AL24" i="1"/>
  <c r="AJ24" i="1"/>
  <c r="AF24" i="1"/>
  <c r="AB24" i="1"/>
  <c r="AH24" i="1"/>
  <c r="AL22" i="1"/>
  <c r="V22" i="1"/>
  <c r="AJ22" i="1"/>
  <c r="X22" i="1"/>
  <c r="AB22" i="1"/>
  <c r="AO22" i="1"/>
  <c r="AP22" i="1" s="1"/>
  <c r="AH22" i="1"/>
  <c r="AF22" i="1"/>
  <c r="Z22" i="1"/>
  <c r="AX100" i="1"/>
  <c r="AX103" i="1" s="1"/>
  <c r="AT30" i="1"/>
  <c r="AU30" i="1" s="1"/>
  <c r="AV47" i="1"/>
  <c r="AW47" i="1" s="1"/>
  <c r="AU47" i="1"/>
  <c r="AV14" i="1"/>
  <c r="AW14" i="1" s="1"/>
  <c r="AU14" i="1"/>
  <c r="AU98" i="1"/>
  <c r="AV98" i="1"/>
  <c r="AW98" i="1" s="1"/>
  <c r="I14" i="1" l="1"/>
  <c r="I16" i="1"/>
  <c r="I13" i="1"/>
  <c r="I18" i="1"/>
  <c r="I12" i="1"/>
  <c r="I19" i="1"/>
  <c r="I17" i="1"/>
  <c r="I15" i="1"/>
  <c r="AO27" i="1"/>
  <c r="AO34" i="1"/>
  <c r="AB34" i="1"/>
  <c r="Z34" i="1"/>
  <c r="AM34" i="1"/>
  <c r="X34" i="1"/>
  <c r="AL34" i="1"/>
  <c r="V34" i="1"/>
  <c r="AJ34" i="1"/>
  <c r="AH34" i="1"/>
  <c r="AF34" i="1"/>
  <c r="AD34" i="1"/>
  <c r="AJ33" i="1"/>
  <c r="AH33" i="1"/>
  <c r="AF33" i="1"/>
  <c r="Z33" i="1"/>
  <c r="AM33" i="1"/>
  <c r="X33" i="1"/>
  <c r="AD33" i="1"/>
  <c r="AL33" i="1"/>
  <c r="V33" i="1"/>
  <c r="AO33" i="1"/>
  <c r="AB33" i="1"/>
  <c r="AF9" i="1"/>
  <c r="AO40" i="1"/>
  <c r="Z40" i="1"/>
  <c r="AH40" i="1"/>
  <c r="AF40" i="1"/>
  <c r="AL40" i="1"/>
  <c r="AJ40" i="1"/>
  <c r="X40" i="1"/>
  <c r="AM40" i="1"/>
  <c r="AD40" i="1"/>
  <c r="V40" i="1"/>
  <c r="AB40" i="1"/>
  <c r="AO39" i="1"/>
  <c r="Z39" i="1"/>
  <c r="AH39" i="1"/>
  <c r="X39" i="1"/>
  <c r="AL39" i="1"/>
  <c r="AM39" i="1"/>
  <c r="AD39" i="1"/>
  <c r="AB39" i="1"/>
  <c r="AF39" i="1"/>
  <c r="V39" i="1"/>
  <c r="AJ39" i="1"/>
  <c r="AO41" i="1"/>
  <c r="AM41" i="1"/>
  <c r="Z41" i="1"/>
  <c r="AJ41" i="1"/>
  <c r="V41" i="1"/>
  <c r="AD41" i="1"/>
  <c r="AL41" i="1"/>
  <c r="AF41" i="1"/>
  <c r="X41" i="1"/>
  <c r="AB41" i="1"/>
  <c r="AH41" i="1"/>
  <c r="AO35" i="1"/>
  <c r="AB35" i="1"/>
  <c r="AJ35" i="1"/>
  <c r="Z35" i="1"/>
  <c r="AM35" i="1"/>
  <c r="X35" i="1"/>
  <c r="V35" i="1"/>
  <c r="AD35" i="1"/>
  <c r="AL35" i="1"/>
  <c r="AH35" i="1"/>
  <c r="AF35" i="1"/>
  <c r="AD9" i="1"/>
  <c r="AM9" i="1"/>
  <c r="AM31" i="1"/>
  <c r="AD31" i="1"/>
  <c r="AM50" i="1"/>
  <c r="AD50" i="1"/>
  <c r="AM52" i="1"/>
  <c r="AD52" i="1"/>
  <c r="AM53" i="1"/>
  <c r="AD53" i="1"/>
  <c r="AM56" i="1"/>
  <c r="AD56" i="1"/>
  <c r="AM27" i="1"/>
  <c r="AD27" i="1"/>
  <c r="AM29" i="1"/>
  <c r="AD29" i="1"/>
  <c r="AM51" i="1"/>
  <c r="AD51" i="1"/>
  <c r="AM37" i="1"/>
  <c r="AD37" i="1"/>
  <c r="AD36" i="1"/>
  <c r="AM36" i="1"/>
  <c r="AM32" i="1"/>
  <c r="AD32" i="1"/>
  <c r="AM30" i="1"/>
  <c r="AD30" i="1"/>
  <c r="AD28" i="1"/>
  <c r="AM28" i="1"/>
  <c r="AO51" i="1"/>
  <c r="AB51" i="1"/>
  <c r="AH51" i="1"/>
  <c r="X51" i="1"/>
  <c r="Z51" i="1"/>
  <c r="AJ51" i="1"/>
  <c r="V51" i="1"/>
  <c r="AF51" i="1"/>
  <c r="AL51" i="1"/>
  <c r="AB27" i="1"/>
  <c r="X27" i="1"/>
  <c r="AL27" i="1"/>
  <c r="AH27" i="1"/>
  <c r="AJ27" i="1"/>
  <c r="Z27" i="1"/>
  <c r="AF27" i="1"/>
  <c r="V27" i="1"/>
  <c r="AO32" i="1"/>
  <c r="AH32" i="1"/>
  <c r="Z32" i="1"/>
  <c r="AF32" i="1"/>
  <c r="V32" i="1"/>
  <c r="X32" i="1"/>
  <c r="AB32" i="1"/>
  <c r="AL32" i="1"/>
  <c r="AJ32" i="1"/>
  <c r="AL30" i="1"/>
  <c r="AF30" i="1"/>
  <c r="AO30" i="1"/>
  <c r="X30" i="1"/>
  <c r="V30" i="1"/>
  <c r="AJ30" i="1"/>
  <c r="Z30" i="1"/>
  <c r="AH30" i="1"/>
  <c r="AB30" i="1"/>
  <c r="AO52" i="1"/>
  <c r="AB52" i="1"/>
  <c r="Z52" i="1"/>
  <c r="AF52" i="1"/>
  <c r="X52" i="1"/>
  <c r="AJ52" i="1"/>
  <c r="AL52" i="1"/>
  <c r="AH52" i="1"/>
  <c r="V52" i="1"/>
  <c r="AO36" i="1"/>
  <c r="AJ36" i="1"/>
  <c r="V36" i="1"/>
  <c r="AL36" i="1"/>
  <c r="AB36" i="1"/>
  <c r="AF36" i="1"/>
  <c r="Z36" i="1"/>
  <c r="X36" i="1"/>
  <c r="AH36" i="1"/>
  <c r="AL37" i="1"/>
  <c r="X37" i="1"/>
  <c r="AB37" i="1"/>
  <c r="AH37" i="1"/>
  <c r="AO37" i="1"/>
  <c r="V37" i="1"/>
  <c r="AJ37" i="1"/>
  <c r="AF37" i="1"/>
  <c r="Z37" i="1"/>
  <c r="AO28" i="1"/>
  <c r="V28" i="1"/>
  <c r="AB28" i="1"/>
  <c r="AH28" i="1"/>
  <c r="AF28" i="1"/>
  <c r="X28" i="1"/>
  <c r="Z28" i="1"/>
  <c r="AL28" i="1"/>
  <c r="AJ28" i="1"/>
  <c r="AO9" i="1"/>
  <c r="AP9" i="1" s="1"/>
  <c r="AL9" i="1"/>
  <c r="AB9" i="1"/>
  <c r="Z9" i="1"/>
  <c r="V9" i="1"/>
  <c r="X9" i="1"/>
  <c r="AH9" i="1"/>
  <c r="AJ9" i="1"/>
  <c r="AO53" i="1"/>
  <c r="AH53" i="1"/>
  <c r="X53" i="1"/>
  <c r="AJ53" i="1"/>
  <c r="Z53" i="1"/>
  <c r="AF53" i="1"/>
  <c r="AB53" i="1"/>
  <c r="V53" i="1"/>
  <c r="AL53" i="1"/>
  <c r="AO29" i="1"/>
  <c r="Z29" i="1"/>
  <c r="AF29" i="1"/>
  <c r="AL29" i="1"/>
  <c r="V29" i="1"/>
  <c r="X29" i="1"/>
  <c r="AH29" i="1"/>
  <c r="AJ29" i="1"/>
  <c r="AB29" i="1"/>
  <c r="AO56" i="1"/>
  <c r="Z56" i="1"/>
  <c r="AF56" i="1"/>
  <c r="AH56" i="1"/>
  <c r="V56" i="1"/>
  <c r="AL56" i="1"/>
  <c r="AB56" i="1"/>
  <c r="X56" i="1"/>
  <c r="AJ56" i="1"/>
  <c r="AJ31" i="1"/>
  <c r="Z31" i="1"/>
  <c r="X31" i="1"/>
  <c r="AH31" i="1"/>
  <c r="AB31" i="1"/>
  <c r="AO31" i="1"/>
  <c r="V31" i="1"/>
  <c r="AF31" i="1"/>
  <c r="AL31" i="1"/>
  <c r="AO50" i="1"/>
  <c r="AB50" i="1"/>
  <c r="Z50" i="1"/>
  <c r="X50" i="1"/>
  <c r="AF50" i="1"/>
  <c r="V50" i="1"/>
  <c r="AL50" i="1"/>
  <c r="AJ50" i="1"/>
  <c r="AH50" i="1"/>
  <c r="T10" i="1"/>
  <c r="AN10" i="1" s="1"/>
  <c r="T6" i="1"/>
  <c r="AN6" i="1" s="1"/>
  <c r="T7" i="1"/>
  <c r="T38" i="1"/>
  <c r="AN38" i="1" s="1"/>
  <c r="T8" i="1"/>
  <c r="T11" i="1"/>
  <c r="AN11" i="1" s="1"/>
  <c r="X25" i="1"/>
  <c r="AB25" i="1"/>
  <c r="V25" i="1"/>
  <c r="AJ25" i="1"/>
  <c r="AL25" i="1"/>
  <c r="AH25" i="1"/>
  <c r="Z25" i="1"/>
  <c r="AF25" i="1"/>
  <c r="AV30" i="1"/>
  <c r="AW30" i="1" s="1"/>
  <c r="AM6" i="1" l="1"/>
  <c r="AD11" i="1"/>
  <c r="AM11" i="1"/>
  <c r="AD38" i="1"/>
  <c r="AM38" i="1"/>
  <c r="AN7" i="1"/>
  <c r="AN8" i="1"/>
  <c r="AM10" i="1"/>
  <c r="AD10" i="1"/>
  <c r="AB6" i="1"/>
  <c r="AD6" i="1"/>
  <c r="AO11" i="1"/>
  <c r="AP11" i="1" s="1"/>
  <c r="Z11" i="1"/>
  <c r="AO10" i="1"/>
  <c r="AP10" i="1" s="1"/>
  <c r="AJ10" i="1"/>
  <c r="V10" i="1"/>
  <c r="AL10" i="1"/>
  <c r="AH10" i="1"/>
  <c r="X10" i="1"/>
  <c r="AF10" i="1"/>
  <c r="Z10" i="1"/>
  <c r="AB10" i="1"/>
  <c r="AO38" i="1"/>
  <c r="Z38" i="1"/>
  <c r="AL38" i="1"/>
  <c r="AB38" i="1"/>
  <c r="V38" i="1"/>
  <c r="X38" i="1"/>
  <c r="AJ38" i="1"/>
  <c r="AH38" i="1"/>
  <c r="AF38" i="1"/>
  <c r="T14" i="1"/>
  <c r="AN14" i="1" s="1"/>
  <c r="AH6" i="1"/>
  <c r="T15" i="1"/>
  <c r="AN15" i="1" s="1"/>
  <c r="AF6" i="1"/>
  <c r="V11" i="1"/>
  <c r="T12" i="1"/>
  <c r="AN12" i="1" s="1"/>
  <c r="T17" i="1"/>
  <c r="AN17" i="1" s="1"/>
  <c r="V6" i="1"/>
  <c r="AL6" i="1"/>
  <c r="AJ11" i="1"/>
  <c r="T13" i="1"/>
  <c r="AN13" i="1" s="1"/>
  <c r="AB11" i="1"/>
  <c r="AF11" i="1"/>
  <c r="T16" i="1"/>
  <c r="AN16" i="1" s="1"/>
  <c r="AJ6" i="1"/>
  <c r="X11" i="1"/>
  <c r="T19" i="1"/>
  <c r="AN19" i="1" s="1"/>
  <c r="Z6" i="1"/>
  <c r="AH11" i="1"/>
  <c r="AL11" i="1"/>
  <c r="X6" i="1"/>
  <c r="T18" i="1"/>
  <c r="AN18" i="1" s="1"/>
  <c r="AM8" i="1" l="1"/>
  <c r="AM7" i="1"/>
  <c r="AF7" i="1"/>
  <c r="AB7" i="1"/>
  <c r="AL8" i="1"/>
  <c r="AF8" i="1"/>
  <c r="AD8" i="1"/>
  <c r="AM12" i="1"/>
  <c r="AD12" i="1"/>
  <c r="V7" i="1"/>
  <c r="AJ8" i="1"/>
  <c r="AL7" i="1"/>
  <c r="AM13" i="1"/>
  <c r="AD13" i="1"/>
  <c r="AM15" i="1"/>
  <c r="AD15" i="1"/>
  <c r="X7" i="1"/>
  <c r="Z8" i="1"/>
  <c r="AM18" i="1"/>
  <c r="AD18" i="1"/>
  <c r="Z7" i="1"/>
  <c r="AD7" i="1"/>
  <c r="AH7" i="1"/>
  <c r="X8" i="1"/>
  <c r="AD17" i="1"/>
  <c r="AM17" i="1"/>
  <c r="AM16" i="1"/>
  <c r="AD16" i="1"/>
  <c r="AH8" i="1"/>
  <c r="AB8" i="1"/>
  <c r="AD19" i="1"/>
  <c r="AM19" i="1"/>
  <c r="AM14" i="1"/>
  <c r="AD14" i="1"/>
  <c r="AJ7" i="1"/>
  <c r="V8" i="1"/>
  <c r="AO18" i="1"/>
  <c r="AP18" i="1" s="1"/>
  <c r="AF18" i="1"/>
  <c r="V18" i="1"/>
  <c r="AH18" i="1"/>
  <c r="AJ18" i="1"/>
  <c r="AB18" i="1"/>
  <c r="X18" i="1"/>
  <c r="AL18" i="1"/>
  <c r="Z18" i="1"/>
  <c r="AO16" i="1"/>
  <c r="AP16" i="1" s="1"/>
  <c r="Z16" i="1"/>
  <c r="AF16" i="1"/>
  <c r="AH16" i="1"/>
  <c r="AL16" i="1"/>
  <c r="AB16" i="1"/>
  <c r="V16" i="1"/>
  <c r="AJ16" i="1"/>
  <c r="X16" i="1"/>
  <c r="AL13" i="1"/>
  <c r="V13" i="1"/>
  <c r="AF13" i="1"/>
  <c r="X13" i="1"/>
  <c r="AH13" i="1"/>
  <c r="AJ13" i="1"/>
  <c r="Z13" i="1"/>
  <c r="AB13" i="1"/>
  <c r="AB12" i="1"/>
  <c r="AH12" i="1"/>
  <c r="Z12" i="1"/>
  <c r="AJ12" i="1"/>
  <c r="AL12" i="1"/>
  <c r="V12" i="1"/>
  <c r="X12" i="1"/>
  <c r="AF12" i="1"/>
  <c r="AF15" i="1"/>
  <c r="AJ15" i="1"/>
  <c r="V15" i="1"/>
  <c r="Z15" i="1"/>
  <c r="X15" i="1"/>
  <c r="AL15" i="1"/>
  <c r="AH15" i="1"/>
  <c r="AB15" i="1"/>
  <c r="AO19" i="1"/>
  <c r="AP19" i="1" s="1"/>
  <c r="AB19" i="1"/>
  <c r="Z19" i="1"/>
  <c r="V19" i="1"/>
  <c r="AF19" i="1"/>
  <c r="AH19" i="1"/>
  <c r="AL19" i="1"/>
  <c r="AJ19" i="1"/>
  <c r="X19" i="1"/>
  <c r="V14" i="1"/>
  <c r="AB14" i="1"/>
  <c r="AF14" i="1"/>
  <c r="AL14" i="1"/>
  <c r="X14" i="1"/>
  <c r="Z14" i="1"/>
  <c r="AH14" i="1"/>
  <c r="AJ14" i="1"/>
  <c r="AO17" i="1"/>
  <c r="AP17" i="1" s="1"/>
  <c r="AL17" i="1"/>
  <c r="AJ17" i="1"/>
  <c r="Z17" i="1"/>
  <c r="V17" i="1"/>
  <c r="AF17" i="1"/>
  <c r="X17" i="1"/>
  <c r="AB17" i="1"/>
  <c r="AH17" i="1"/>
</calcChain>
</file>

<file path=xl/sharedStrings.xml><?xml version="1.0" encoding="utf-8"?>
<sst xmlns="http://schemas.openxmlformats.org/spreadsheetml/2006/main" count="468" uniqueCount="164">
  <si>
    <t>PRODUTOS</t>
  </si>
  <si>
    <t>PESO (g)</t>
  </si>
  <si>
    <t>TABELA</t>
  </si>
  <si>
    <t>RECHEIO</t>
  </si>
  <si>
    <t>CUSTO PRODUTO</t>
  </si>
  <si>
    <t>EMBALAGEM PRIMÁRIA</t>
  </si>
  <si>
    <t>EMBALAGEM SEGUNDÁRIA</t>
  </si>
  <si>
    <t>CAIXA DE TRANSPORTE</t>
  </si>
  <si>
    <t>CUSTO PRODUÇÃO</t>
  </si>
  <si>
    <t>CUSTO TOTAL</t>
  </si>
  <si>
    <t>MARKETING</t>
  </si>
  <si>
    <t>COMERCIAL</t>
  </si>
  <si>
    <t>LOGÍSTICA</t>
  </si>
  <si>
    <t>TRIBUTAÇÃO</t>
  </si>
  <si>
    <t>PROMOTORES</t>
  </si>
  <si>
    <t>CONTRATO</t>
  </si>
  <si>
    <t>CD</t>
  </si>
  <si>
    <t>LUCRO</t>
  </si>
  <si>
    <t>PREÇO</t>
  </si>
  <si>
    <t>TIPO</t>
  </si>
  <si>
    <t>CUSTO</t>
  </si>
  <si>
    <t>S/N</t>
  </si>
  <si>
    <t>%</t>
  </si>
  <si>
    <t>VERBA</t>
  </si>
  <si>
    <t>Dadinho de Tapioca com Queijo Canastra  - 300g</t>
  </si>
  <si>
    <t>s</t>
  </si>
  <si>
    <t>1 - PRODUÇÃO DE BOLINHO DE FEIJÃO FRITO</t>
  </si>
  <si>
    <t>Bolinho de Feijão Suavemente Picante - 300g</t>
  </si>
  <si>
    <t xml:space="preserve">(kg) Produção /dia </t>
  </si>
  <si>
    <t>Bolinho de Feijão Original - 300g</t>
  </si>
  <si>
    <t>Materia Prima</t>
  </si>
  <si>
    <t>Qtdes - kg</t>
  </si>
  <si>
    <t>Valores</t>
  </si>
  <si>
    <t>Dia</t>
  </si>
  <si>
    <t>Semana</t>
  </si>
  <si>
    <t>Mês</t>
  </si>
  <si>
    <t>Unitário</t>
  </si>
  <si>
    <t>R$</t>
  </si>
  <si>
    <t>Feijão Fradinho (kg)</t>
  </si>
  <si>
    <t>Óleo de Soja (l)</t>
  </si>
  <si>
    <t>Sal (kg)</t>
  </si>
  <si>
    <t>Molho Barbecue de Goiaba - 240g/200ml</t>
  </si>
  <si>
    <t>Pimenta (kg)</t>
  </si>
  <si>
    <t>Custo da fritura</t>
  </si>
  <si>
    <t>Insumos</t>
  </si>
  <si>
    <t>Embalagem primária</t>
  </si>
  <si>
    <t>Embalagem secundária</t>
  </si>
  <si>
    <t>Caixa de transporte</t>
  </si>
  <si>
    <t>Custo unitário Kg</t>
  </si>
  <si>
    <t>2 - PRODUÇÃO DE BOLINHO DE FEIJÃO PRÉ-FRITO</t>
  </si>
  <si>
    <t>3 - PRODUÇÃO DE DADINHO DE TAPIOCA FRITO</t>
  </si>
  <si>
    <t>Tapioca granulada</t>
  </si>
  <si>
    <t>Queijo</t>
  </si>
  <si>
    <t>Leite</t>
  </si>
  <si>
    <t>Oléo de algodão</t>
  </si>
  <si>
    <t>Sal</t>
  </si>
  <si>
    <t>4 - PRODUÇÃO DE DADINHO DE TAPIOCA CRU</t>
  </si>
  <si>
    <t xml:space="preserve">Fubá </t>
  </si>
  <si>
    <t>Polvilho</t>
  </si>
  <si>
    <t>Óleo de Soja</t>
  </si>
  <si>
    <t>Bicarbonado de Sódio</t>
  </si>
  <si>
    <t xml:space="preserve">Dadinho de Tapioca com Queijo Canastra  - 20x300g </t>
  </si>
  <si>
    <t xml:space="preserve">Bolinho de Feijão Suavemente Picante  - 20x300g </t>
  </si>
  <si>
    <t xml:space="preserve">Bolinho de Feijão Original  - 20x300g </t>
  </si>
  <si>
    <t>Molho de Rapadura com Gengibre - 240g/200ml</t>
  </si>
  <si>
    <t xml:space="preserve">Recheio de Frango kg </t>
  </si>
  <si>
    <t xml:space="preserve">Recheio de Carne kg </t>
  </si>
  <si>
    <t xml:space="preserve">Recheio de Queijo kg </t>
  </si>
  <si>
    <t>PREÇO DA UNIDADE</t>
  </si>
  <si>
    <t>UNIDADES POR FARDO</t>
  </si>
  <si>
    <t>SKU</t>
  </si>
  <si>
    <t xml:space="preserve">PASTEL DE ANGU - RECHEIO DE FRANGO </t>
  </si>
  <si>
    <t>ITEM</t>
  </si>
  <si>
    <t>PRODUTO</t>
  </si>
  <si>
    <t>Kg</t>
  </si>
  <si>
    <t>VALOR</t>
  </si>
  <si>
    <t>PERCENTUAL (Kg)</t>
  </si>
  <si>
    <t>PERCENTUAL (R$)</t>
  </si>
  <si>
    <t>QUANT. PARA 1 KG DE PASTEL (KG)</t>
  </si>
  <si>
    <t>CUSTO PARA 1 KG DE PASTEL (R$)</t>
  </si>
  <si>
    <t>Água</t>
  </si>
  <si>
    <t>Fubá Mimoso</t>
  </si>
  <si>
    <t>Recheio de Frango</t>
  </si>
  <si>
    <t>TOTAL</t>
  </si>
  <si>
    <t>CUSTO POR Kg</t>
  </si>
  <si>
    <t>RENDIMENTO DA RECEITA KG</t>
  </si>
  <si>
    <t>QUANTIDADE DE PASTÉIS (30g)</t>
  </si>
  <si>
    <t>PASTEL DE ANGU - RECHEIO DE CARNE BOVINA</t>
  </si>
  <si>
    <t>Recheio de Carne Bovina (moida)</t>
  </si>
  <si>
    <t>PASTEL DE ANGU - RECHEIO DE QUEIJO</t>
  </si>
  <si>
    <t>Recheio de Queijo</t>
  </si>
  <si>
    <t>PASTEL DE ANGU - RECHEIO DE RAGÚ (Carne Suína)</t>
  </si>
  <si>
    <t>Recheio de Ragu (carne suína)</t>
  </si>
  <si>
    <t>g</t>
  </si>
  <si>
    <t>Molho Barbecue de Goiaba - 12x240g/200ml</t>
  </si>
  <si>
    <t>Molho de Rapadura com Gengibre - 12x240g/200ml</t>
  </si>
  <si>
    <t>PREÇO SUGERIDO</t>
  </si>
  <si>
    <t>ROTULO</t>
  </si>
  <si>
    <t>Dadinho de Tapioca com Queijo Canastra - FRITADEIRA - KG</t>
  </si>
  <si>
    <t>Dadinho de Tapioca com Queijo Canastra - AIR FLYER - KG</t>
  </si>
  <si>
    <t>Dadinho de Tapioca com Queijo Canastra - FRITADEIRA - 20x12</t>
  </si>
  <si>
    <t>Dadinho de Tapioca com Queijo Canastra - FRITADEIRA - 20x16</t>
  </si>
  <si>
    <t>% de CUSTO INDIRETO</t>
  </si>
  <si>
    <t xml:space="preserve">Rótulo </t>
  </si>
  <si>
    <t>MOLHOS ESPECIAIS</t>
  </si>
  <si>
    <t>ICMS-ST</t>
  </si>
  <si>
    <t>Simples Nac.</t>
  </si>
  <si>
    <t>PREÇO SEM ICMS-ST</t>
  </si>
  <si>
    <t>PREÇO COM ICMS-ST</t>
  </si>
  <si>
    <t>Dadinho de Tapioca com Queijo Canastra - AIR FLYER - 20x12</t>
  </si>
  <si>
    <t>Bolinho de Feijão Suavemente Picante Coquetel - FRITADEIRA  -  KG</t>
  </si>
  <si>
    <t>Bolinho de Feijão Original Coquetel - Air Flyer -  20X12</t>
  </si>
  <si>
    <t>Bolinho de Feijão Original Coquetel - Fritadeira -  20X12</t>
  </si>
  <si>
    <t>Bolinho de Feijão Suavemente Picante Coquetel - Air Flyer -  20X12</t>
  </si>
  <si>
    <t>Bolinho de Feijão Suavemente Picante Coquetel - Fritadeira -  20X12</t>
  </si>
  <si>
    <t>Bolinho de Feijão Original Lanche - Fritadeira -  20X6</t>
  </si>
  <si>
    <t>Bolinho de Feijão Suavemente Picante Lanche - Fritadeira -  20X6</t>
  </si>
  <si>
    <t>Bolinho de Feijão Original Coquetel - Air Flyer -  KG</t>
  </si>
  <si>
    <t>PESO DO FARDO (Kg)</t>
  </si>
  <si>
    <t>Bolinho de Feijão Original Coquetel - FRITADEIRA  -  KG</t>
  </si>
  <si>
    <t>Bolinho de Feijão Suavemente Picante Coquetel - Air Flyer -  KG</t>
  </si>
  <si>
    <t>Pastel de Angu RAGU DE PERNIL- Fritadeira - 10X12</t>
  </si>
  <si>
    <t>Pastel de Angu FRANGO - 300g</t>
  </si>
  <si>
    <t>Pastel de Angu CARNE  - 300g</t>
  </si>
  <si>
    <t>Pastel de Angu QUEIJO CANASTRA - 300g</t>
  </si>
  <si>
    <t>Pastel de Angu FRANGO - 20x300g</t>
  </si>
  <si>
    <t>Pastel de Angu CARNE  - 20x300g</t>
  </si>
  <si>
    <t>Pastel de Angu QUEIJO CANASTRA - 20x300g</t>
  </si>
  <si>
    <t>Pastel de Angu FRANGO - Fritadeira - Kg</t>
  </si>
  <si>
    <t>Pastel de Angu CARNE - Fritadeira - Kg</t>
  </si>
  <si>
    <t>Pastel de Angu QUEIJO CANASTRA - Fritadeira - Kg</t>
  </si>
  <si>
    <t>Pastel de Angu FRANGO - Fritadeira - 10X06</t>
  </si>
  <si>
    <t>Pastel de Angu CARNE - Fritadeira - 10X06</t>
  </si>
  <si>
    <t>Pastel de Angu QUEIJO CANASTRA - Fritadeira - 10X06</t>
  </si>
  <si>
    <t>Pastel de Angu FRANGO - Fritadeira - 10X12</t>
  </si>
  <si>
    <t>Pastel de Angu CARNE - Fritadeira - 10X12</t>
  </si>
  <si>
    <t>Pastel de Angu QUEIJO CANASTRA - Fritadeira - 10X12</t>
  </si>
  <si>
    <t>5 - PRODUÇÃO DE PASTEL DE ANGU CRU - TAM. 01</t>
  </si>
  <si>
    <t>6 - PRODUÇÃO DE PASTEL DE ANGU FRITO - TAM. 01</t>
  </si>
  <si>
    <t>TIPOS DE RECHEIO - PASTEL DE ANGU (KG)</t>
  </si>
  <si>
    <t>CUSTO DAS EMBALAGENS DO PASTEL DE ANGU</t>
  </si>
  <si>
    <t>Paste de Angu RAGU DE PERNIL - 20x300g</t>
  </si>
  <si>
    <t>Pastel de Angu RAGU DE PERNIL - Fritadeira - Kg</t>
  </si>
  <si>
    <t>Pastel de Angu RAGU DE PERNIL- Fritadeira - 10X06</t>
  </si>
  <si>
    <t>Pastel de Angu Angu RAGU DE PERNIL - 300g</t>
  </si>
  <si>
    <t xml:space="preserve">Recheio de Ragu de Pernil kg </t>
  </si>
  <si>
    <t>Pastel de Angu RAGU DE PERNIL- Fritadeira - 10X10</t>
  </si>
  <si>
    <t>Pastel de Angu CARNE - Fritadeira - 10X10</t>
  </si>
  <si>
    <t>Molho Barbecue de Goiaba - 500g</t>
  </si>
  <si>
    <t>Molho de Rapadura com Gengibre - 500g</t>
  </si>
  <si>
    <t>Molho de Rapadura com Gengibre - 1,05Kg</t>
  </si>
  <si>
    <t>POTE 200g +TAMPA</t>
  </si>
  <si>
    <t>POTE 500g PVC +TAMPA COM LACRE</t>
  </si>
  <si>
    <t>POTE 1,05KG PVC +TAMPA COM LACRE</t>
  </si>
  <si>
    <t xml:space="preserve">TABELA DE MOLHOS ESPECIAIS </t>
  </si>
  <si>
    <t>RAPADURA 500g</t>
  </si>
  <si>
    <t>BARBECUE 500g</t>
  </si>
  <si>
    <t>RAPADURA 1Kg</t>
  </si>
  <si>
    <t>BARBECUE 1Kg</t>
  </si>
  <si>
    <t>RAPADURA 200g</t>
  </si>
  <si>
    <t>BARBECUE 200g</t>
  </si>
  <si>
    <t>Molho de Rapadura com Gengibre - 500Kg</t>
  </si>
  <si>
    <t xml:space="preserve">Dainho de Tapioca com Queijo Canastra- Fritadeira - 10x300g </t>
  </si>
  <si>
    <t>MinasMandioca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</si>
</sst>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00"/>
    <numFmt numFmtId="166" formatCode="_-* #,##0.00_-;\-* #,##0.00_-;_-* &quot;-&quot;??_-;_-@"/>
    <numFmt numFmtId="167" formatCode="0.0%"/>
    <numFmt numFmtId="168" formatCode="0.0000"/>
    <numFmt numFmtId="169" formatCode="_-* #,##0_-;\-* #,##0_-;_-* &quot;-&quot;??_-;_-@_-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8"/>
      <color rgb="FFFF0000"/>
      <name val="Aptos Narrow"/>
    </font>
    <font>
      <b/>
      <sz val="16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3870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2" tint="-0.499984740745262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43" fontId="2" fillId="2" borderId="16" xfId="0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right"/>
    </xf>
    <xf numFmtId="1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43" fontId="3" fillId="2" borderId="16" xfId="1" applyFont="1" applyFill="1" applyBorder="1" applyAlignment="1">
      <alignment horizontal="center"/>
    </xf>
    <xf numFmtId="44" fontId="3" fillId="2" borderId="16" xfId="2" applyFont="1" applyFill="1" applyBorder="1" applyAlignment="1"/>
    <xf numFmtId="44" fontId="3" fillId="2" borderId="22" xfId="2" applyFont="1" applyFill="1" applyBorder="1" applyAlignment="1"/>
    <xf numFmtId="0" fontId="2" fillId="2" borderId="1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44" fontId="3" fillId="2" borderId="16" xfId="2" applyFont="1" applyFill="1" applyBorder="1" applyAlignment="1">
      <alignment horizontal="center"/>
    </xf>
    <xf numFmtId="44" fontId="3" fillId="2" borderId="0" xfId="2" applyFont="1" applyFill="1" applyBorder="1" applyAlignment="1"/>
    <xf numFmtId="2" fontId="3" fillId="2" borderId="29" xfId="0" applyNumberFormat="1" applyFont="1" applyFill="1" applyBorder="1" applyAlignment="1">
      <alignment horizontal="center"/>
    </xf>
    <xf numFmtId="164" fontId="3" fillId="2" borderId="29" xfId="0" applyNumberFormat="1" applyFont="1" applyFill="1" applyBorder="1" applyAlignment="1">
      <alignment horizontal="center"/>
    </xf>
    <xf numFmtId="43" fontId="3" fillId="2" borderId="29" xfId="1" applyFont="1" applyFill="1" applyBorder="1" applyAlignment="1">
      <alignment horizontal="center"/>
    </xf>
    <xf numFmtId="44" fontId="3" fillId="2" borderId="29" xfId="2" applyFont="1" applyFill="1" applyBorder="1" applyAlignment="1"/>
    <xf numFmtId="44" fontId="3" fillId="2" borderId="30" xfId="2" applyFont="1" applyFill="1" applyBorder="1" applyAlignment="1"/>
    <xf numFmtId="0" fontId="3" fillId="2" borderId="13" xfId="0" applyFont="1" applyFill="1" applyBorder="1" applyAlignment="1">
      <alignment horizontal="center"/>
    </xf>
    <xf numFmtId="44" fontId="3" fillId="2" borderId="13" xfId="2" applyFont="1" applyFill="1" applyBorder="1" applyAlignment="1">
      <alignment horizontal="center"/>
    </xf>
    <xf numFmtId="44" fontId="3" fillId="2" borderId="13" xfId="2" applyFont="1" applyFill="1" applyBorder="1" applyAlignment="1"/>
    <xf numFmtId="44" fontId="3" fillId="2" borderId="12" xfId="2" applyFont="1" applyFill="1" applyBorder="1" applyAlignment="1">
      <alignment horizontal="center"/>
    </xf>
    <xf numFmtId="44" fontId="3" fillId="2" borderId="7" xfId="2" applyFont="1" applyFill="1" applyBorder="1" applyAlignment="1"/>
    <xf numFmtId="0" fontId="3" fillId="2" borderId="0" xfId="0" applyFont="1" applyFill="1" applyAlignment="1">
      <alignment horizontal="center"/>
    </xf>
    <xf numFmtId="44" fontId="3" fillId="2" borderId="0" xfId="2" applyFont="1" applyFill="1" applyBorder="1" applyAlignment="1">
      <alignment horizontal="center"/>
    </xf>
    <xf numFmtId="44" fontId="3" fillId="2" borderId="34" xfId="2" applyFont="1" applyFill="1" applyBorder="1" applyAlignment="1">
      <alignment horizontal="center"/>
    </xf>
    <xf numFmtId="0" fontId="3" fillId="2" borderId="13" xfId="0" applyFont="1" applyFill="1" applyBorder="1" applyAlignment="1">
      <alignment horizontal="right"/>
    </xf>
    <xf numFmtId="44" fontId="3" fillId="2" borderId="12" xfId="2" applyFont="1" applyFill="1" applyBorder="1" applyAlignment="1"/>
    <xf numFmtId="44" fontId="2" fillId="2" borderId="0" xfId="0" applyNumberFormat="1" applyFont="1" applyFill="1"/>
    <xf numFmtId="0" fontId="3" fillId="2" borderId="0" xfId="0" applyFont="1" applyFill="1" applyAlignment="1">
      <alignment vertical="center"/>
    </xf>
    <xf numFmtId="2" fontId="3" fillId="2" borderId="16" xfId="0" applyNumberFormat="1" applyFont="1" applyFill="1" applyBorder="1" applyAlignment="1">
      <alignment horizontal="center"/>
    </xf>
    <xf numFmtId="10" fontId="3" fillId="2" borderId="0" xfId="0" applyNumberFormat="1" applyFont="1" applyFill="1"/>
    <xf numFmtId="43" fontId="2" fillId="2" borderId="15" xfId="0" applyNumberFormat="1" applyFont="1" applyFill="1" applyBorder="1" applyAlignment="1">
      <alignment horizontal="center"/>
    </xf>
    <xf numFmtId="0" fontId="3" fillId="2" borderId="19" xfId="0" applyFont="1" applyFill="1" applyBorder="1" applyAlignment="1">
      <alignment horizontal="right"/>
    </xf>
    <xf numFmtId="43" fontId="2" fillId="2" borderId="19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4" fontId="3" fillId="2" borderId="10" xfId="2" applyFont="1" applyFill="1" applyBorder="1" applyAlignment="1">
      <alignment horizontal="center"/>
    </xf>
    <xf numFmtId="44" fontId="3" fillId="2" borderId="7" xfId="2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3" fillId="2" borderId="0" xfId="3" applyFont="1" applyFill="1"/>
    <xf numFmtId="0" fontId="2" fillId="2" borderId="34" xfId="0" applyFont="1" applyFill="1" applyBorder="1"/>
    <xf numFmtId="44" fontId="3" fillId="2" borderId="0" xfId="0" applyNumberFormat="1" applyFont="1" applyFill="1"/>
    <xf numFmtId="2" fontId="3" fillId="2" borderId="0" xfId="0" applyNumberFormat="1" applyFont="1" applyFill="1"/>
    <xf numFmtId="44" fontId="3" fillId="0" borderId="39" xfId="2" applyFont="1" applyBorder="1"/>
    <xf numFmtId="44" fontId="3" fillId="0" borderId="16" xfId="2" applyFont="1" applyBorder="1"/>
    <xf numFmtId="0" fontId="3" fillId="0" borderId="0" xfId="0" applyFont="1" applyAlignment="1">
      <alignment horizontal="center"/>
    </xf>
    <xf numFmtId="9" fontId="3" fillId="0" borderId="0" xfId="3" applyFont="1"/>
    <xf numFmtId="0" fontId="5" fillId="0" borderId="16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6" xfId="0" applyFont="1" applyBorder="1"/>
    <xf numFmtId="165" fontId="7" fillId="0" borderId="16" xfId="0" applyNumberFormat="1" applyFont="1" applyBorder="1"/>
    <xf numFmtId="166" fontId="7" fillId="0" borderId="16" xfId="0" applyNumberFormat="1" applyFont="1" applyBorder="1"/>
    <xf numFmtId="167" fontId="7" fillId="0" borderId="16" xfId="0" applyNumberFormat="1" applyFont="1" applyBorder="1"/>
    <xf numFmtId="10" fontId="7" fillId="0" borderId="16" xfId="0" applyNumberFormat="1" applyFont="1" applyBorder="1"/>
    <xf numFmtId="2" fontId="7" fillId="0" borderId="16" xfId="0" applyNumberFormat="1" applyFont="1" applyBorder="1" applyAlignment="1">
      <alignment horizontal="right" wrapText="1"/>
    </xf>
    <xf numFmtId="43" fontId="0" fillId="0" borderId="16" xfId="1" applyFont="1" applyBorder="1" applyAlignment="1">
      <alignment horizontal="right" wrapText="1"/>
    </xf>
    <xf numFmtId="166" fontId="7" fillId="3" borderId="16" xfId="0" applyNumberFormat="1" applyFont="1" applyFill="1" applyBorder="1"/>
    <xf numFmtId="165" fontId="8" fillId="0" borderId="16" xfId="0" applyNumberFormat="1" applyFont="1" applyBorder="1"/>
    <xf numFmtId="167" fontId="10" fillId="0" borderId="16" xfId="0" applyNumberFormat="1" applyFont="1" applyBorder="1"/>
    <xf numFmtId="10" fontId="10" fillId="0" borderId="16" xfId="0" applyNumberFormat="1" applyFont="1" applyBorder="1"/>
    <xf numFmtId="2" fontId="10" fillId="0" borderId="16" xfId="0" applyNumberFormat="1" applyFont="1" applyBorder="1" applyAlignment="1">
      <alignment horizontal="right" wrapText="1"/>
    </xf>
    <xf numFmtId="43" fontId="11" fillId="0" borderId="16" xfId="0" applyNumberFormat="1" applyFont="1" applyBorder="1" applyAlignment="1">
      <alignment horizontal="center" wrapText="1"/>
    </xf>
    <xf numFmtId="165" fontId="14" fillId="0" borderId="16" xfId="0" applyNumberFormat="1" applyFont="1" applyBorder="1"/>
    <xf numFmtId="43" fontId="0" fillId="0" borderId="0" xfId="0" applyNumberFormat="1"/>
    <xf numFmtId="0" fontId="7" fillId="0" borderId="0" xfId="0" applyFont="1" applyAlignment="1">
      <alignment horizontal="center"/>
    </xf>
    <xf numFmtId="165" fontId="7" fillId="0" borderId="0" xfId="0" applyNumberFormat="1" applyFont="1"/>
    <xf numFmtId="9" fontId="7" fillId="0" borderId="0" xfId="0" applyNumberFormat="1" applyFont="1"/>
    <xf numFmtId="0" fontId="0" fillId="0" borderId="0" xfId="0" applyAlignment="1">
      <alignment horizontal="center" wrapText="1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9" fontId="8" fillId="0" borderId="16" xfId="0" applyNumberFormat="1" applyFont="1" applyBorder="1"/>
    <xf numFmtId="165" fontId="7" fillId="0" borderId="16" xfId="0" applyNumberFormat="1" applyFont="1" applyBorder="1" applyAlignment="1">
      <alignment horizontal="center"/>
    </xf>
    <xf numFmtId="165" fontId="14" fillId="3" borderId="16" xfId="0" applyNumberFormat="1" applyFont="1" applyFill="1" applyBorder="1"/>
    <xf numFmtId="168" fontId="7" fillId="0" borderId="16" xfId="0" applyNumberFormat="1" applyFont="1" applyBorder="1" applyAlignment="1">
      <alignment horizontal="right" wrapText="1"/>
    </xf>
    <xf numFmtId="169" fontId="0" fillId="0" borderId="0" xfId="1" applyNumberFormat="1" applyFont="1" applyAlignment="1">
      <alignment horizontal="left" indent="4"/>
    </xf>
    <xf numFmtId="1" fontId="7" fillId="0" borderId="16" xfId="0" applyNumberFormat="1" applyFont="1" applyBorder="1"/>
    <xf numFmtId="1" fontId="14" fillId="0" borderId="16" xfId="0" applyNumberFormat="1" applyFont="1" applyBorder="1"/>
    <xf numFmtId="0" fontId="3" fillId="4" borderId="21" xfId="0" applyFont="1" applyFill="1" applyBorder="1" applyAlignment="1">
      <alignment horizontal="center"/>
    </xf>
    <xf numFmtId="44" fontId="3" fillId="4" borderId="52" xfId="2" applyFont="1" applyFill="1" applyBorder="1" applyAlignment="1">
      <alignment vertical="center"/>
    </xf>
    <xf numFmtId="0" fontId="3" fillId="4" borderId="21" xfId="2" applyNumberFormat="1" applyFont="1" applyFill="1" applyBorder="1" applyAlignment="1">
      <alignment horizontal="center" vertical="center"/>
    </xf>
    <xf numFmtId="44" fontId="3" fillId="4" borderId="51" xfId="2" applyFont="1" applyFill="1" applyBorder="1" applyAlignment="1">
      <alignment vertical="center"/>
    </xf>
    <xf numFmtId="9" fontId="3" fillId="4" borderId="21" xfId="3" applyFont="1" applyFill="1" applyBorder="1" applyAlignment="1">
      <alignment vertical="center"/>
    </xf>
    <xf numFmtId="44" fontId="3" fillId="4" borderId="22" xfId="2" applyFont="1" applyFill="1" applyBorder="1" applyAlignment="1">
      <alignment vertical="center"/>
    </xf>
    <xf numFmtId="44" fontId="3" fillId="4" borderId="50" xfId="2" applyFont="1" applyFill="1" applyBorder="1" applyAlignment="1">
      <alignment vertical="center"/>
    </xf>
    <xf numFmtId="9" fontId="3" fillId="4" borderId="28" xfId="3" applyFont="1" applyFill="1" applyBorder="1" applyAlignment="1">
      <alignment vertical="center"/>
    </xf>
    <xf numFmtId="10" fontId="3" fillId="4" borderId="21" xfId="3" applyNumberFormat="1" applyFont="1" applyFill="1" applyBorder="1" applyAlignment="1">
      <alignment vertical="center"/>
    </xf>
    <xf numFmtId="44" fontId="3" fillId="4" borderId="21" xfId="2" applyFont="1" applyFill="1" applyBorder="1" applyAlignment="1">
      <alignment horizontal="center" vertical="center"/>
    </xf>
    <xf numFmtId="44" fontId="3" fillId="5" borderId="52" xfId="2" applyFont="1" applyFill="1" applyBorder="1" applyAlignment="1">
      <alignment vertical="center"/>
    </xf>
    <xf numFmtId="44" fontId="3" fillId="5" borderId="21" xfId="2" applyFont="1" applyFill="1" applyBorder="1" applyAlignment="1">
      <alignment horizontal="center" vertical="center"/>
    </xf>
    <xf numFmtId="44" fontId="3" fillId="5" borderId="26" xfId="2" applyFont="1" applyFill="1" applyBorder="1" applyAlignment="1">
      <alignment vertical="center"/>
    </xf>
    <xf numFmtId="44" fontId="3" fillId="5" borderId="51" xfId="2" applyFont="1" applyFill="1" applyBorder="1" applyAlignment="1">
      <alignment vertical="center"/>
    </xf>
    <xf numFmtId="9" fontId="3" fillId="5" borderId="21" xfId="3" applyFont="1" applyFill="1" applyBorder="1" applyAlignment="1">
      <alignment vertical="center"/>
    </xf>
    <xf numFmtId="44" fontId="3" fillId="5" borderId="22" xfId="2" applyFont="1" applyFill="1" applyBorder="1" applyAlignment="1">
      <alignment vertical="center"/>
    </xf>
    <xf numFmtId="44" fontId="3" fillId="5" borderId="50" xfId="2" applyFont="1" applyFill="1" applyBorder="1" applyAlignment="1">
      <alignment vertical="center"/>
    </xf>
    <xf numFmtId="9" fontId="3" fillId="5" borderId="28" xfId="3" applyFont="1" applyFill="1" applyBorder="1" applyAlignment="1">
      <alignment vertical="center"/>
    </xf>
    <xf numFmtId="10" fontId="3" fillId="5" borderId="21" xfId="3" applyNumberFormat="1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/>
    </xf>
    <xf numFmtId="44" fontId="3" fillId="5" borderId="28" xfId="2" applyFont="1" applyFill="1" applyBorder="1" applyAlignment="1">
      <alignment vertical="center"/>
    </xf>
    <xf numFmtId="44" fontId="3" fillId="5" borderId="51" xfId="2" applyFont="1" applyFill="1" applyBorder="1"/>
    <xf numFmtId="44" fontId="3" fillId="5" borderId="52" xfId="2" applyFont="1" applyFill="1" applyBorder="1"/>
    <xf numFmtId="0" fontId="3" fillId="6" borderId="21" xfId="0" applyFont="1" applyFill="1" applyBorder="1" applyAlignment="1">
      <alignment horizontal="center" vertical="center"/>
    </xf>
    <xf numFmtId="44" fontId="3" fillId="6" borderId="52" xfId="2" applyFont="1" applyFill="1" applyBorder="1" applyAlignment="1">
      <alignment vertical="center"/>
    </xf>
    <xf numFmtId="0" fontId="3" fillId="6" borderId="21" xfId="2" applyNumberFormat="1" applyFont="1" applyFill="1" applyBorder="1" applyAlignment="1">
      <alignment horizontal="center" vertical="center"/>
    </xf>
    <xf numFmtId="44" fontId="3" fillId="6" borderId="51" xfId="2" applyFont="1" applyFill="1" applyBorder="1" applyAlignment="1">
      <alignment vertical="center"/>
    </xf>
    <xf numFmtId="9" fontId="3" fillId="6" borderId="21" xfId="3" applyFont="1" applyFill="1" applyBorder="1" applyAlignment="1">
      <alignment vertical="center"/>
    </xf>
    <xf numFmtId="44" fontId="3" fillId="6" borderId="22" xfId="2" applyFont="1" applyFill="1" applyBorder="1" applyAlignment="1">
      <alignment vertical="center"/>
    </xf>
    <xf numFmtId="44" fontId="3" fillId="6" borderId="50" xfId="2" applyFont="1" applyFill="1" applyBorder="1" applyAlignment="1">
      <alignment vertical="center"/>
    </xf>
    <xf numFmtId="9" fontId="3" fillId="6" borderId="28" xfId="3" applyFont="1" applyFill="1" applyBorder="1" applyAlignment="1">
      <alignment vertical="center"/>
    </xf>
    <xf numFmtId="10" fontId="3" fillId="6" borderId="21" xfId="3" applyNumberFormat="1" applyFont="1" applyFill="1" applyBorder="1" applyAlignment="1">
      <alignment vertical="center"/>
    </xf>
    <xf numFmtId="0" fontId="3" fillId="6" borderId="21" xfId="0" applyFont="1" applyFill="1" applyBorder="1" applyAlignment="1">
      <alignment horizontal="center"/>
    </xf>
    <xf numFmtId="0" fontId="3" fillId="2" borderId="27" xfId="0" applyFont="1" applyFill="1" applyBorder="1"/>
    <xf numFmtId="0" fontId="3" fillId="2" borderId="31" xfId="0" applyFont="1" applyFill="1" applyBorder="1"/>
    <xf numFmtId="0" fontId="3" fillId="6" borderId="27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44" fontId="3" fillId="6" borderId="16" xfId="2" applyFont="1" applyFill="1" applyBorder="1" applyAlignment="1">
      <alignment vertical="center"/>
    </xf>
    <xf numFmtId="44" fontId="3" fillId="4" borderId="16" xfId="2" applyFont="1" applyFill="1" applyBorder="1" applyAlignment="1">
      <alignment vertical="center"/>
    </xf>
    <xf numFmtId="44" fontId="3" fillId="5" borderId="16" xfId="2" applyFont="1" applyFill="1" applyBorder="1" applyAlignment="1">
      <alignment vertical="center"/>
    </xf>
    <xf numFmtId="44" fontId="3" fillId="6" borderId="58" xfId="2" applyFont="1" applyFill="1" applyBorder="1" applyAlignment="1">
      <alignment vertical="center"/>
    </xf>
    <xf numFmtId="44" fontId="3" fillId="4" borderId="58" xfId="2" applyFont="1" applyFill="1" applyBorder="1" applyAlignment="1">
      <alignment vertical="center"/>
    </xf>
    <xf numFmtId="44" fontId="3" fillId="5" borderId="58" xfId="2" applyFont="1" applyFill="1" applyBorder="1" applyAlignment="1">
      <alignment vertical="center"/>
    </xf>
    <xf numFmtId="0" fontId="3" fillId="6" borderId="28" xfId="2" applyNumberFormat="1" applyFont="1" applyFill="1" applyBorder="1" applyAlignment="1">
      <alignment horizontal="center" vertical="center"/>
    </xf>
    <xf numFmtId="0" fontId="3" fillId="4" borderId="28" xfId="2" applyNumberFormat="1" applyFont="1" applyFill="1" applyBorder="1" applyAlignment="1">
      <alignment horizontal="center" vertical="center"/>
    </xf>
    <xf numFmtId="44" fontId="3" fillId="4" borderId="28" xfId="2" applyFont="1" applyFill="1" applyBorder="1" applyAlignment="1">
      <alignment horizontal="center" vertical="center"/>
    </xf>
    <xf numFmtId="44" fontId="3" fillId="5" borderId="28" xfId="2" applyFont="1" applyFill="1" applyBorder="1" applyAlignment="1">
      <alignment horizontal="center" vertical="center"/>
    </xf>
    <xf numFmtId="0" fontId="3" fillId="5" borderId="21" xfId="2" applyNumberFormat="1" applyFont="1" applyFill="1" applyBorder="1" applyAlignment="1">
      <alignment horizontal="center" vertical="center"/>
    </xf>
    <xf numFmtId="44" fontId="3" fillId="8" borderId="22" xfId="2" applyFont="1" applyFill="1" applyBorder="1" applyAlignment="1">
      <alignment vertical="center"/>
    </xf>
    <xf numFmtId="44" fontId="3" fillId="9" borderId="22" xfId="2" applyFont="1" applyFill="1" applyBorder="1" applyAlignment="1">
      <alignment vertical="center"/>
    </xf>
    <xf numFmtId="9" fontId="3" fillId="6" borderId="52" xfId="3" applyFont="1" applyFill="1" applyBorder="1" applyAlignment="1">
      <alignment horizontal="center" vertical="center"/>
    </xf>
    <xf numFmtId="9" fontId="3" fillId="4" borderId="52" xfId="3" applyFont="1" applyFill="1" applyBorder="1" applyAlignment="1">
      <alignment horizontal="center" vertical="center"/>
    </xf>
    <xf numFmtId="9" fontId="3" fillId="5" borderId="52" xfId="3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right"/>
    </xf>
    <xf numFmtId="0" fontId="3" fillId="2" borderId="56" xfId="0" applyFont="1" applyFill="1" applyBorder="1" applyAlignment="1">
      <alignment horizontal="right"/>
    </xf>
    <xf numFmtId="44" fontId="3" fillId="2" borderId="47" xfId="2" applyFont="1" applyFill="1" applyBorder="1" applyAlignment="1">
      <alignment horizontal="center"/>
    </xf>
    <xf numFmtId="44" fontId="3" fillId="2" borderId="34" xfId="0" applyNumberFormat="1" applyFont="1" applyFill="1" applyBorder="1"/>
    <xf numFmtId="10" fontId="3" fillId="6" borderId="16" xfId="2" applyNumberFormat="1" applyFont="1" applyFill="1" applyBorder="1" applyAlignment="1">
      <alignment vertical="center"/>
    </xf>
    <xf numFmtId="10" fontId="3" fillId="4" borderId="16" xfId="2" applyNumberFormat="1" applyFont="1" applyFill="1" applyBorder="1" applyAlignment="1">
      <alignment vertical="center"/>
    </xf>
    <xf numFmtId="10" fontId="3" fillId="5" borderId="16" xfId="2" applyNumberFormat="1" applyFont="1" applyFill="1" applyBorder="1" applyAlignment="1">
      <alignment vertical="center"/>
    </xf>
    <xf numFmtId="44" fontId="3" fillId="2" borderId="0" xfId="2" applyFont="1" applyFill="1"/>
    <xf numFmtId="44" fontId="3" fillId="0" borderId="0" xfId="2" applyFont="1"/>
    <xf numFmtId="0" fontId="3" fillId="10" borderId="27" xfId="0" applyFont="1" applyFill="1" applyBorder="1" applyAlignment="1">
      <alignment vertical="center"/>
    </xf>
    <xf numFmtId="0" fontId="3" fillId="10" borderId="21" xfId="0" applyFont="1" applyFill="1" applyBorder="1" applyAlignment="1">
      <alignment horizontal="center"/>
    </xf>
    <xf numFmtId="0" fontId="3" fillId="10" borderId="21" xfId="2" applyNumberFormat="1" applyFont="1" applyFill="1" applyBorder="1" applyAlignment="1">
      <alignment horizontal="center" vertical="center"/>
    </xf>
    <xf numFmtId="44" fontId="3" fillId="10" borderId="22" xfId="2" applyFont="1" applyFill="1" applyBorder="1" applyAlignment="1">
      <alignment vertical="center"/>
    </xf>
    <xf numFmtId="44" fontId="3" fillId="10" borderId="21" xfId="2" applyFont="1" applyFill="1" applyBorder="1" applyAlignment="1">
      <alignment horizontal="center" vertical="center"/>
    </xf>
    <xf numFmtId="44" fontId="3" fillId="10" borderId="28" xfId="2" applyFont="1" applyFill="1" applyBorder="1" applyAlignment="1">
      <alignment horizontal="center" vertical="center"/>
    </xf>
    <xf numFmtId="44" fontId="3" fillId="10" borderId="58" xfId="2" applyFont="1" applyFill="1" applyBorder="1" applyAlignment="1">
      <alignment vertical="center"/>
    </xf>
    <xf numFmtId="9" fontId="3" fillId="10" borderId="52" xfId="3" applyFont="1" applyFill="1" applyBorder="1" applyAlignment="1">
      <alignment horizontal="center" vertical="center"/>
    </xf>
    <xf numFmtId="44" fontId="3" fillId="10" borderId="51" xfId="2" applyFont="1" applyFill="1" applyBorder="1" applyAlignment="1">
      <alignment vertical="center"/>
    </xf>
    <xf numFmtId="9" fontId="3" fillId="10" borderId="21" xfId="3" applyFont="1" applyFill="1" applyBorder="1" applyAlignment="1">
      <alignment vertical="center"/>
    </xf>
    <xf numFmtId="44" fontId="3" fillId="10" borderId="50" xfId="2" applyFont="1" applyFill="1" applyBorder="1" applyAlignment="1">
      <alignment vertical="center"/>
    </xf>
    <xf numFmtId="10" fontId="3" fillId="10" borderId="16" xfId="2" applyNumberFormat="1" applyFont="1" applyFill="1" applyBorder="1" applyAlignment="1">
      <alignment vertical="center"/>
    </xf>
    <xf numFmtId="44" fontId="3" fillId="10" borderId="16" xfId="2" applyFont="1" applyFill="1" applyBorder="1" applyAlignment="1">
      <alignment vertical="center"/>
    </xf>
    <xf numFmtId="9" fontId="3" fillId="10" borderId="28" xfId="3" applyFont="1" applyFill="1" applyBorder="1" applyAlignment="1">
      <alignment vertical="center"/>
    </xf>
    <xf numFmtId="10" fontId="3" fillId="10" borderId="21" xfId="3" applyNumberFormat="1" applyFont="1" applyFill="1" applyBorder="1" applyAlignment="1">
      <alignment vertical="center"/>
    </xf>
    <xf numFmtId="44" fontId="3" fillId="10" borderId="52" xfId="2" applyFont="1" applyFill="1" applyBorder="1" applyAlignment="1">
      <alignment vertical="center"/>
    </xf>
    <xf numFmtId="0" fontId="3" fillId="11" borderId="27" xfId="0" applyFont="1" applyFill="1" applyBorder="1" applyAlignment="1">
      <alignment vertical="center"/>
    </xf>
    <xf numFmtId="0" fontId="3" fillId="11" borderId="21" xfId="0" applyFont="1" applyFill="1" applyBorder="1" applyAlignment="1">
      <alignment horizontal="center" vertical="center"/>
    </xf>
    <xf numFmtId="0" fontId="3" fillId="11" borderId="21" xfId="2" applyNumberFormat="1" applyFont="1" applyFill="1" applyBorder="1" applyAlignment="1">
      <alignment horizontal="center" vertical="center"/>
    </xf>
    <xf numFmtId="44" fontId="3" fillId="11" borderId="22" xfId="2" applyFont="1" applyFill="1" applyBorder="1" applyAlignment="1">
      <alignment vertical="center"/>
    </xf>
    <xf numFmtId="44" fontId="3" fillId="11" borderId="21" xfId="2" applyFont="1" applyFill="1" applyBorder="1" applyAlignment="1">
      <alignment horizontal="center" vertical="center"/>
    </xf>
    <xf numFmtId="44" fontId="3" fillId="11" borderId="28" xfId="2" applyFont="1" applyFill="1" applyBorder="1" applyAlignment="1">
      <alignment horizontal="center" vertical="center"/>
    </xf>
    <xf numFmtId="44" fontId="3" fillId="11" borderId="58" xfId="2" applyFont="1" applyFill="1" applyBorder="1" applyAlignment="1">
      <alignment vertical="center"/>
    </xf>
    <xf numFmtId="9" fontId="3" fillId="11" borderId="52" xfId="3" applyFont="1" applyFill="1" applyBorder="1" applyAlignment="1">
      <alignment horizontal="center" vertical="center"/>
    </xf>
    <xf numFmtId="44" fontId="3" fillId="11" borderId="51" xfId="2" applyFont="1" applyFill="1" applyBorder="1" applyAlignment="1">
      <alignment vertical="center"/>
    </xf>
    <xf numFmtId="9" fontId="3" fillId="11" borderId="21" xfId="3" applyFont="1" applyFill="1" applyBorder="1" applyAlignment="1">
      <alignment vertical="center"/>
    </xf>
    <xf numFmtId="44" fontId="3" fillId="11" borderId="50" xfId="2" applyFont="1" applyFill="1" applyBorder="1" applyAlignment="1">
      <alignment vertical="center"/>
    </xf>
    <xf numFmtId="10" fontId="3" fillId="11" borderId="16" xfId="2" applyNumberFormat="1" applyFont="1" applyFill="1" applyBorder="1" applyAlignment="1">
      <alignment vertical="center"/>
    </xf>
    <xf numFmtId="44" fontId="3" fillId="11" borderId="16" xfId="2" applyFont="1" applyFill="1" applyBorder="1" applyAlignment="1">
      <alignment vertical="center"/>
    </xf>
    <xf numFmtId="9" fontId="3" fillId="11" borderId="28" xfId="3" applyFont="1" applyFill="1" applyBorder="1" applyAlignment="1">
      <alignment vertical="center"/>
    </xf>
    <xf numFmtId="10" fontId="3" fillId="11" borderId="21" xfId="3" applyNumberFormat="1" applyFont="1" applyFill="1" applyBorder="1" applyAlignment="1">
      <alignment vertical="center"/>
    </xf>
    <xf numFmtId="44" fontId="3" fillId="11" borderId="52" xfId="2" applyFont="1" applyFill="1" applyBorder="1" applyAlignment="1">
      <alignment vertical="center"/>
    </xf>
    <xf numFmtId="44" fontId="3" fillId="11" borderId="51" xfId="2" applyFont="1" applyFill="1" applyBorder="1"/>
    <xf numFmtId="44" fontId="3" fillId="11" borderId="52" xfId="2" applyFont="1" applyFill="1" applyBorder="1"/>
    <xf numFmtId="0" fontId="3" fillId="11" borderId="27" xfId="0" applyFont="1" applyFill="1" applyBorder="1"/>
    <xf numFmtId="0" fontId="3" fillId="11" borderId="21" xfId="0" applyFont="1" applyFill="1" applyBorder="1" applyAlignment="1">
      <alignment horizontal="center"/>
    </xf>
    <xf numFmtId="44" fontId="3" fillId="5" borderId="63" xfId="2" applyFont="1" applyFill="1" applyBorder="1" applyAlignment="1">
      <alignment vertical="center"/>
    </xf>
    <xf numFmtId="9" fontId="3" fillId="5" borderId="64" xfId="3" applyFont="1" applyFill="1" applyBorder="1" applyAlignment="1">
      <alignment horizontal="center" vertical="center"/>
    </xf>
    <xf numFmtId="9" fontId="3" fillId="5" borderId="25" xfId="3" applyFont="1" applyFill="1" applyBorder="1" applyAlignment="1">
      <alignment vertical="center"/>
    </xf>
    <xf numFmtId="44" fontId="3" fillId="5" borderId="65" xfId="2" applyFont="1" applyFill="1" applyBorder="1" applyAlignment="1">
      <alignment vertical="center"/>
    </xf>
    <xf numFmtId="9" fontId="3" fillId="5" borderId="66" xfId="3" applyFont="1" applyFill="1" applyBorder="1" applyAlignment="1">
      <alignment vertical="center"/>
    </xf>
    <xf numFmtId="44" fontId="3" fillId="5" borderId="64" xfId="2" applyFont="1" applyFill="1" applyBorder="1" applyAlignment="1">
      <alignment vertical="center"/>
    </xf>
    <xf numFmtId="44" fontId="3" fillId="5" borderId="60" xfId="2" applyFont="1" applyFill="1" applyBorder="1"/>
    <xf numFmtId="44" fontId="3" fillId="5" borderId="64" xfId="2" applyFont="1" applyFill="1" applyBorder="1"/>
    <xf numFmtId="10" fontId="3" fillId="5" borderId="50" xfId="3" applyNumberFormat="1" applyFont="1" applyFill="1" applyBorder="1" applyAlignment="1">
      <alignment vertical="center"/>
    </xf>
    <xf numFmtId="44" fontId="3" fillId="5" borderId="58" xfId="2" applyFont="1" applyFill="1" applyBorder="1"/>
    <xf numFmtId="0" fontId="3" fillId="12" borderId="27" xfId="0" applyFont="1" applyFill="1" applyBorder="1" applyAlignment="1">
      <alignment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5" xfId="2" applyNumberFormat="1" applyFont="1" applyFill="1" applyBorder="1" applyAlignment="1">
      <alignment horizontal="center" vertical="center"/>
    </xf>
    <xf numFmtId="44" fontId="3" fillId="12" borderId="7" xfId="2" applyFont="1" applyFill="1" applyBorder="1" applyAlignment="1">
      <alignment vertical="center"/>
    </xf>
    <xf numFmtId="0" fontId="3" fillId="12" borderId="25" xfId="2" applyNumberFormat="1" applyFont="1" applyFill="1" applyBorder="1" applyAlignment="1">
      <alignment horizontal="center" vertical="center"/>
    </xf>
    <xf numFmtId="0" fontId="3" fillId="12" borderId="33" xfId="2" applyNumberFormat="1" applyFont="1" applyFill="1" applyBorder="1" applyAlignment="1">
      <alignment horizontal="center" vertical="center"/>
    </xf>
    <xf numFmtId="44" fontId="3" fillId="12" borderId="3" xfId="2" applyFont="1" applyFill="1" applyBorder="1" applyAlignment="1">
      <alignment vertical="center"/>
    </xf>
    <xf numFmtId="9" fontId="3" fillId="12" borderId="54" xfId="2" applyNumberFormat="1" applyFont="1" applyFill="1" applyBorder="1" applyAlignment="1">
      <alignment horizontal="center" vertical="center"/>
    </xf>
    <xf numFmtId="44" fontId="3" fillId="12" borderId="4" xfId="2" applyFont="1" applyFill="1" applyBorder="1" applyAlignment="1">
      <alignment vertical="center"/>
    </xf>
    <xf numFmtId="9" fontId="3" fillId="12" borderId="5" xfId="3" applyFont="1" applyFill="1" applyBorder="1" applyAlignment="1">
      <alignment vertical="center"/>
    </xf>
    <xf numFmtId="44" fontId="3" fillId="12" borderId="6" xfId="2" applyFont="1" applyFill="1" applyBorder="1" applyAlignment="1">
      <alignment vertical="center"/>
    </xf>
    <xf numFmtId="10" fontId="3" fillId="12" borderId="15" xfId="2" applyNumberFormat="1" applyFont="1" applyFill="1" applyBorder="1" applyAlignment="1">
      <alignment vertical="center"/>
    </xf>
    <xf numFmtId="44" fontId="3" fillId="12" borderId="15" xfId="2" applyFont="1" applyFill="1" applyBorder="1" applyAlignment="1">
      <alignment vertical="center"/>
    </xf>
    <xf numFmtId="9" fontId="3" fillId="12" borderId="33" xfId="3" applyFont="1" applyFill="1" applyBorder="1" applyAlignment="1">
      <alignment vertical="center"/>
    </xf>
    <xf numFmtId="44" fontId="3" fillId="12" borderId="54" xfId="2" applyFont="1" applyFill="1" applyBorder="1" applyAlignment="1">
      <alignment vertical="center"/>
    </xf>
    <xf numFmtId="9" fontId="3" fillId="12" borderId="4" xfId="3" applyFont="1" applyFill="1" applyBorder="1" applyAlignment="1">
      <alignment vertical="center"/>
    </xf>
    <xf numFmtId="9" fontId="3" fillId="12" borderId="54" xfId="3" applyFont="1" applyFill="1" applyBorder="1" applyAlignment="1">
      <alignment vertical="center"/>
    </xf>
    <xf numFmtId="0" fontId="3" fillId="12" borderId="21" xfId="0" applyFont="1" applyFill="1" applyBorder="1" applyAlignment="1">
      <alignment horizontal="center" vertical="center"/>
    </xf>
    <xf numFmtId="0" fontId="3" fillId="12" borderId="21" xfId="2" applyNumberFormat="1" applyFont="1" applyFill="1" applyBorder="1" applyAlignment="1">
      <alignment horizontal="center" vertical="center"/>
    </xf>
    <xf numFmtId="44" fontId="3" fillId="12" borderId="22" xfId="2" applyFont="1" applyFill="1" applyBorder="1" applyAlignment="1">
      <alignment vertical="center"/>
    </xf>
    <xf numFmtId="44" fontId="3" fillId="12" borderId="50" xfId="2" applyFont="1" applyFill="1" applyBorder="1" applyAlignment="1">
      <alignment vertical="center"/>
    </xf>
    <xf numFmtId="0" fontId="3" fillId="12" borderId="28" xfId="2" applyNumberFormat="1" applyFont="1" applyFill="1" applyBorder="1" applyAlignment="1">
      <alignment horizontal="center" vertical="center"/>
    </xf>
    <xf numFmtId="44" fontId="3" fillId="12" borderId="58" xfId="2" applyFont="1" applyFill="1" applyBorder="1" applyAlignment="1">
      <alignment vertical="center"/>
    </xf>
    <xf numFmtId="9" fontId="3" fillId="12" borderId="52" xfId="3" applyFont="1" applyFill="1" applyBorder="1" applyAlignment="1">
      <alignment horizontal="center" vertical="center"/>
    </xf>
    <xf numFmtId="44" fontId="3" fillId="12" borderId="51" xfId="2" applyFont="1" applyFill="1" applyBorder="1" applyAlignment="1">
      <alignment vertical="center"/>
    </xf>
    <xf numFmtId="9" fontId="3" fillId="12" borderId="21" xfId="3" applyFont="1" applyFill="1" applyBorder="1" applyAlignment="1">
      <alignment vertical="center"/>
    </xf>
    <xf numFmtId="10" fontId="3" fillId="12" borderId="16" xfId="2" applyNumberFormat="1" applyFont="1" applyFill="1" applyBorder="1" applyAlignment="1">
      <alignment vertical="center"/>
    </xf>
    <xf numFmtId="44" fontId="3" fillId="12" borderId="16" xfId="2" applyFont="1" applyFill="1" applyBorder="1" applyAlignment="1">
      <alignment vertical="center"/>
    </xf>
    <xf numFmtId="9" fontId="3" fillId="12" borderId="28" xfId="3" applyFont="1" applyFill="1" applyBorder="1" applyAlignment="1">
      <alignment vertical="center"/>
    </xf>
    <xf numFmtId="10" fontId="3" fillId="12" borderId="21" xfId="3" applyNumberFormat="1" applyFont="1" applyFill="1" applyBorder="1" applyAlignment="1">
      <alignment vertical="center"/>
    </xf>
    <xf numFmtId="44" fontId="3" fillId="12" borderId="52" xfId="2" applyFont="1" applyFill="1" applyBorder="1" applyAlignment="1">
      <alignment vertical="center"/>
    </xf>
    <xf numFmtId="0" fontId="3" fillId="12" borderId="21" xfId="0" applyFont="1" applyFill="1" applyBorder="1" applyAlignment="1">
      <alignment horizontal="center"/>
    </xf>
    <xf numFmtId="0" fontId="15" fillId="13" borderId="35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35" xfId="0" applyFont="1" applyFill="1" applyBorder="1" applyAlignment="1">
      <alignment horizontal="center" vertical="center"/>
    </xf>
    <xf numFmtId="0" fontId="15" fillId="13" borderId="55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5" fillId="13" borderId="56" xfId="0" applyFont="1" applyFill="1" applyBorder="1" applyAlignment="1">
      <alignment horizontal="center" vertical="center"/>
    </xf>
    <xf numFmtId="0" fontId="15" fillId="13" borderId="30" xfId="0" applyFont="1" applyFill="1" applyBorder="1" applyAlignment="1">
      <alignment horizontal="center" vertical="center"/>
    </xf>
    <xf numFmtId="9" fontId="15" fillId="13" borderId="11" xfId="3" applyFont="1" applyFill="1" applyBorder="1" applyAlignment="1">
      <alignment horizontal="center" vertical="center"/>
    </xf>
    <xf numFmtId="0" fontId="15" fillId="13" borderId="32" xfId="0" applyFont="1" applyFill="1" applyBorder="1" applyAlignment="1">
      <alignment horizontal="center" vertical="center"/>
    </xf>
    <xf numFmtId="0" fontId="15" fillId="13" borderId="31" xfId="0" applyFont="1" applyFill="1" applyBorder="1" applyAlignment="1">
      <alignment horizontal="center" vertical="center"/>
    </xf>
    <xf numFmtId="0" fontId="15" fillId="13" borderId="32" xfId="0" applyFont="1" applyFill="1" applyBorder="1" applyAlignment="1">
      <alignment vertical="center"/>
    </xf>
    <xf numFmtId="0" fontId="15" fillId="13" borderId="13" xfId="0" applyFont="1" applyFill="1" applyBorder="1" applyAlignment="1">
      <alignment horizontal="center" vertical="center"/>
    </xf>
    <xf numFmtId="44" fontId="15" fillId="13" borderId="12" xfId="2" applyFont="1" applyFill="1" applyBorder="1" applyAlignment="1">
      <alignment horizontal="center" vertical="center"/>
    </xf>
    <xf numFmtId="44" fontId="3" fillId="2" borderId="0" xfId="0" applyNumberFormat="1" applyFont="1" applyFill="1" applyAlignment="1">
      <alignment horizontal="center"/>
    </xf>
    <xf numFmtId="0" fontId="3" fillId="14" borderId="27" xfId="0" applyFont="1" applyFill="1" applyBorder="1" applyAlignment="1">
      <alignment vertical="center"/>
    </xf>
    <xf numFmtId="0" fontId="3" fillId="14" borderId="21" xfId="0" applyFont="1" applyFill="1" applyBorder="1" applyAlignment="1">
      <alignment horizontal="center" vertical="center"/>
    </xf>
    <xf numFmtId="44" fontId="3" fillId="14" borderId="50" xfId="2" applyFont="1" applyFill="1" applyBorder="1" applyAlignment="1">
      <alignment vertical="center"/>
    </xf>
    <xf numFmtId="0" fontId="3" fillId="14" borderId="21" xfId="2" applyNumberFormat="1" applyFont="1" applyFill="1" applyBorder="1" applyAlignment="1">
      <alignment horizontal="center" vertical="center"/>
    </xf>
    <xf numFmtId="44" fontId="3" fillId="14" borderId="21" xfId="2" applyFont="1" applyFill="1" applyBorder="1" applyAlignment="1">
      <alignment horizontal="center" vertical="center"/>
    </xf>
    <xf numFmtId="44" fontId="3" fillId="14" borderId="22" xfId="2" applyFont="1" applyFill="1" applyBorder="1" applyAlignment="1">
      <alignment vertical="center"/>
    </xf>
    <xf numFmtId="44" fontId="3" fillId="14" borderId="28" xfId="2" applyFont="1" applyFill="1" applyBorder="1" applyAlignment="1">
      <alignment horizontal="center" vertical="center"/>
    </xf>
    <xf numFmtId="44" fontId="3" fillId="14" borderId="58" xfId="2" applyFont="1" applyFill="1" applyBorder="1" applyAlignment="1">
      <alignment vertical="center"/>
    </xf>
    <xf numFmtId="9" fontId="3" fillId="14" borderId="52" xfId="3" applyFont="1" applyFill="1" applyBorder="1" applyAlignment="1">
      <alignment horizontal="center" vertical="center"/>
    </xf>
    <xf numFmtId="9" fontId="3" fillId="14" borderId="21" xfId="3" applyFont="1" applyFill="1" applyBorder="1" applyAlignment="1">
      <alignment vertical="center"/>
    </xf>
    <xf numFmtId="9" fontId="3" fillId="14" borderId="28" xfId="3" applyFont="1" applyFill="1" applyBorder="1" applyAlignment="1">
      <alignment vertical="center"/>
    </xf>
    <xf numFmtId="10" fontId="3" fillId="14" borderId="21" xfId="3" applyNumberFormat="1" applyFont="1" applyFill="1" applyBorder="1" applyAlignment="1">
      <alignment vertical="center"/>
    </xf>
    <xf numFmtId="44" fontId="3" fillId="14" borderId="52" xfId="2" applyFont="1" applyFill="1" applyBorder="1" applyAlignment="1">
      <alignment vertical="center"/>
    </xf>
    <xf numFmtId="44" fontId="3" fillId="14" borderId="16" xfId="2" applyFont="1" applyFill="1" applyBorder="1" applyAlignment="1">
      <alignment vertical="center"/>
    </xf>
    <xf numFmtId="0" fontId="3" fillId="14" borderId="67" xfId="0" applyFont="1" applyFill="1" applyBorder="1" applyAlignment="1">
      <alignment vertical="center"/>
    </xf>
    <xf numFmtId="0" fontId="3" fillId="7" borderId="68" xfId="0" applyFont="1" applyFill="1" applyBorder="1" applyAlignment="1">
      <alignment horizontal="center" vertical="center"/>
    </xf>
    <xf numFmtId="0" fontId="3" fillId="7" borderId="68" xfId="2" applyNumberFormat="1" applyFont="1" applyFill="1" applyBorder="1" applyAlignment="1">
      <alignment horizontal="center" vertical="center"/>
    </xf>
    <xf numFmtId="44" fontId="3" fillId="7" borderId="70" xfId="2" applyFont="1" applyFill="1" applyBorder="1" applyAlignment="1">
      <alignment vertical="center"/>
    </xf>
    <xf numFmtId="44" fontId="3" fillId="7" borderId="68" xfId="2" applyFont="1" applyFill="1" applyBorder="1" applyAlignment="1">
      <alignment horizontal="center" vertical="center"/>
    </xf>
    <xf numFmtId="44" fontId="3" fillId="7" borderId="69" xfId="2" applyFont="1" applyFill="1" applyBorder="1" applyAlignment="1">
      <alignment vertical="center"/>
    </xf>
    <xf numFmtId="44" fontId="3" fillId="7" borderId="70" xfId="2" applyFont="1" applyFill="1" applyBorder="1" applyAlignment="1">
      <alignment horizontal="center" vertical="center"/>
    </xf>
    <xf numFmtId="44" fontId="3" fillId="7" borderId="71" xfId="2" applyFont="1" applyFill="1" applyBorder="1" applyAlignment="1">
      <alignment horizontal="center" vertical="center"/>
    </xf>
    <xf numFmtId="44" fontId="3" fillId="7" borderId="73" xfId="2" applyFont="1" applyFill="1" applyBorder="1" applyAlignment="1">
      <alignment vertical="center"/>
    </xf>
    <xf numFmtId="9" fontId="3" fillId="7" borderId="57" xfId="3" applyFont="1" applyFill="1" applyBorder="1" applyAlignment="1">
      <alignment horizontal="center" vertical="center"/>
    </xf>
    <xf numFmtId="44" fontId="3" fillId="7" borderId="0" xfId="2" applyFont="1" applyFill="1" applyBorder="1" applyAlignment="1">
      <alignment vertical="center"/>
    </xf>
    <xf numFmtId="9" fontId="3" fillId="7" borderId="68" xfId="3" applyFont="1" applyFill="1" applyBorder="1" applyAlignment="1">
      <alignment vertical="center"/>
    </xf>
    <xf numFmtId="10" fontId="3" fillId="7" borderId="72" xfId="2" applyNumberFormat="1" applyFont="1" applyFill="1" applyBorder="1" applyAlignment="1">
      <alignment vertical="center"/>
    </xf>
    <xf numFmtId="44" fontId="3" fillId="7" borderId="72" xfId="2" applyFont="1" applyFill="1" applyBorder="1" applyAlignment="1">
      <alignment vertical="center"/>
    </xf>
    <xf numFmtId="9" fontId="3" fillId="7" borderId="71" xfId="3" applyFont="1" applyFill="1" applyBorder="1" applyAlignment="1">
      <alignment vertical="center"/>
    </xf>
    <xf numFmtId="44" fontId="3" fillId="7" borderId="57" xfId="2" applyFont="1" applyFill="1" applyBorder="1" applyAlignment="1">
      <alignment vertical="center"/>
    </xf>
    <xf numFmtId="44" fontId="3" fillId="7" borderId="74" xfId="2" applyFont="1" applyFill="1" applyBorder="1" applyAlignment="1">
      <alignment vertical="center"/>
    </xf>
    <xf numFmtId="10" fontId="3" fillId="14" borderId="16" xfId="3" applyNumberFormat="1" applyFont="1" applyFill="1" applyBorder="1" applyAlignment="1">
      <alignment vertical="center"/>
    </xf>
    <xf numFmtId="44" fontId="3" fillId="14" borderId="16" xfId="2" applyFont="1" applyFill="1" applyBorder="1"/>
    <xf numFmtId="0" fontId="3" fillId="2" borderId="49" xfId="0" applyFont="1" applyFill="1" applyBorder="1"/>
    <xf numFmtId="0" fontId="3" fillId="2" borderId="47" xfId="0" applyFont="1" applyFill="1" applyBorder="1" applyAlignment="1">
      <alignment horizontal="center"/>
    </xf>
    <xf numFmtId="0" fontId="3" fillId="2" borderId="47" xfId="0" applyFont="1" applyFill="1" applyBorder="1"/>
    <xf numFmtId="9" fontId="3" fillId="2" borderId="47" xfId="3" applyFont="1" applyFill="1" applyBorder="1"/>
    <xf numFmtId="44" fontId="3" fillId="0" borderId="47" xfId="2" applyFont="1" applyBorder="1"/>
    <xf numFmtId="0" fontId="3" fillId="2" borderId="48" xfId="0" applyFont="1" applyFill="1" applyBorder="1"/>
    <xf numFmtId="0" fontId="3" fillId="2" borderId="67" xfId="0" applyFont="1" applyFill="1" applyBorder="1"/>
    <xf numFmtId="9" fontId="3" fillId="2" borderId="0" xfId="3" applyFont="1" applyFill="1" applyBorder="1"/>
    <xf numFmtId="44" fontId="3" fillId="2" borderId="0" xfId="2" applyFont="1" applyFill="1" applyBorder="1"/>
    <xf numFmtId="0" fontId="3" fillId="2" borderId="73" xfId="0" applyFont="1" applyFill="1" applyBorder="1"/>
    <xf numFmtId="0" fontId="3" fillId="12" borderId="0" xfId="0" applyFont="1" applyFill="1"/>
    <xf numFmtId="44" fontId="3" fillId="14" borderId="22" xfId="2" applyFont="1" applyFill="1" applyBorder="1"/>
    <xf numFmtId="44" fontId="3" fillId="14" borderId="13" xfId="2" applyFont="1" applyFill="1" applyBorder="1"/>
    <xf numFmtId="44" fontId="3" fillId="14" borderId="13" xfId="2" applyFont="1" applyFill="1" applyBorder="1" applyAlignment="1">
      <alignment vertical="center"/>
    </xf>
    <xf numFmtId="10" fontId="3" fillId="14" borderId="13" xfId="2" applyNumberFormat="1" applyFont="1" applyFill="1" applyBorder="1" applyAlignment="1">
      <alignment vertical="center"/>
    </xf>
    <xf numFmtId="44" fontId="3" fillId="14" borderId="12" xfId="2" applyFont="1" applyFill="1" applyBorder="1"/>
    <xf numFmtId="44" fontId="3" fillId="14" borderId="75" xfId="2" applyFont="1" applyFill="1" applyBorder="1" applyAlignment="1">
      <alignment vertical="center"/>
    </xf>
    <xf numFmtId="44" fontId="3" fillId="14" borderId="53" xfId="2" applyFont="1" applyFill="1" applyBorder="1" applyAlignment="1">
      <alignment vertical="center"/>
    </xf>
    <xf numFmtId="44" fontId="3" fillId="14" borderId="28" xfId="2" applyFont="1" applyFill="1" applyBorder="1" applyAlignment="1">
      <alignment vertical="center"/>
    </xf>
    <xf numFmtId="44" fontId="3" fillId="14" borderId="32" xfId="2" applyFont="1" applyFill="1" applyBorder="1" applyAlignment="1">
      <alignment vertical="center"/>
    </xf>
    <xf numFmtId="9" fontId="3" fillId="14" borderId="53" xfId="3" applyFont="1" applyFill="1" applyBorder="1" applyAlignment="1">
      <alignment horizontal="center" vertical="center"/>
    </xf>
    <xf numFmtId="9" fontId="15" fillId="13" borderId="32" xfId="3" applyFont="1" applyFill="1" applyBorder="1" applyAlignment="1">
      <alignment horizontal="center" vertical="center"/>
    </xf>
    <xf numFmtId="9" fontId="3" fillId="14" borderId="32" xfId="3" applyFont="1" applyFill="1" applyBorder="1" applyAlignment="1">
      <alignment vertical="center"/>
    </xf>
    <xf numFmtId="9" fontId="3" fillId="14" borderId="11" xfId="3" applyFont="1" applyFill="1" applyBorder="1" applyAlignment="1">
      <alignment vertical="center"/>
    </xf>
    <xf numFmtId="44" fontId="3" fillId="14" borderId="12" xfId="2" applyFont="1" applyFill="1" applyBorder="1" applyAlignment="1">
      <alignment vertical="center"/>
    </xf>
    <xf numFmtId="0" fontId="15" fillId="13" borderId="75" xfId="0" applyFont="1" applyFill="1" applyBorder="1" applyAlignment="1">
      <alignment horizontal="center" vertical="center"/>
    </xf>
    <xf numFmtId="10" fontId="3" fillId="12" borderId="25" xfId="2" applyNumberFormat="1" applyFont="1" applyFill="1" applyBorder="1" applyAlignment="1">
      <alignment vertical="center"/>
    </xf>
    <xf numFmtId="44" fontId="3" fillId="12" borderId="26" xfId="2" applyFont="1" applyFill="1" applyBorder="1" applyAlignment="1">
      <alignment vertical="center"/>
    </xf>
    <xf numFmtId="10" fontId="3" fillId="12" borderId="21" xfId="2" applyNumberFormat="1" applyFont="1" applyFill="1" applyBorder="1" applyAlignment="1">
      <alignment vertical="center"/>
    </xf>
    <xf numFmtId="10" fontId="3" fillId="6" borderId="21" xfId="2" applyNumberFormat="1" applyFont="1" applyFill="1" applyBorder="1" applyAlignment="1">
      <alignment vertical="center"/>
    </xf>
    <xf numFmtId="10" fontId="3" fillId="4" borderId="21" xfId="2" applyNumberFormat="1" applyFont="1" applyFill="1" applyBorder="1" applyAlignment="1">
      <alignment vertical="center"/>
    </xf>
    <xf numFmtId="10" fontId="3" fillId="10" borderId="21" xfId="2" applyNumberFormat="1" applyFont="1" applyFill="1" applyBorder="1" applyAlignment="1">
      <alignment vertical="center"/>
    </xf>
    <xf numFmtId="10" fontId="3" fillId="11" borderId="21" xfId="2" applyNumberFormat="1" applyFont="1" applyFill="1" applyBorder="1" applyAlignment="1">
      <alignment vertical="center"/>
    </xf>
    <xf numFmtId="10" fontId="3" fillId="5" borderId="21" xfId="2" applyNumberFormat="1" applyFont="1" applyFill="1" applyBorder="1" applyAlignment="1">
      <alignment vertical="center"/>
    </xf>
    <xf numFmtId="10" fontId="3" fillId="5" borderId="27" xfId="3" applyNumberFormat="1" applyFont="1" applyFill="1" applyBorder="1" applyAlignment="1">
      <alignment vertical="center"/>
    </xf>
    <xf numFmtId="10" fontId="3" fillId="7" borderId="68" xfId="2" applyNumberFormat="1" applyFont="1" applyFill="1" applyBorder="1" applyAlignment="1">
      <alignment vertical="center"/>
    </xf>
    <xf numFmtId="10" fontId="3" fillId="14" borderId="11" xfId="2" applyNumberFormat="1" applyFont="1" applyFill="1" applyBorder="1" applyAlignment="1">
      <alignment vertical="center"/>
    </xf>
    <xf numFmtId="9" fontId="3" fillId="2" borderId="49" xfId="3" applyFont="1" applyFill="1" applyBorder="1"/>
    <xf numFmtId="9" fontId="3" fillId="2" borderId="67" xfId="3" applyFont="1" applyFill="1" applyBorder="1"/>
    <xf numFmtId="0" fontId="3" fillId="14" borderId="31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1" xfId="0" applyFont="1" applyFill="1" applyBorder="1" applyAlignment="1">
      <alignment horizontal="center" vertical="center"/>
    </xf>
    <xf numFmtId="0" fontId="3" fillId="12" borderId="51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/>
    </xf>
    <xf numFmtId="0" fontId="3" fillId="10" borderId="51" xfId="0" applyFont="1" applyFill="1" applyBorder="1" applyAlignment="1">
      <alignment horizontal="center"/>
    </xf>
    <xf numFmtId="0" fontId="3" fillId="11" borderId="51" xfId="0" applyFont="1" applyFill="1" applyBorder="1" applyAlignment="1">
      <alignment horizontal="center"/>
    </xf>
    <xf numFmtId="0" fontId="3" fillId="11" borderId="51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2" borderId="54" xfId="0" applyFont="1" applyFill="1" applyBorder="1" applyAlignment="1">
      <alignment horizontal="center" vertical="center"/>
    </xf>
    <xf numFmtId="0" fontId="3" fillId="12" borderId="52" xfId="0" applyFont="1" applyFill="1" applyBorder="1" applyAlignment="1">
      <alignment horizontal="center" vertical="center"/>
    </xf>
    <xf numFmtId="0" fontId="3" fillId="12" borderId="52" xfId="0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/>
    </xf>
    <xf numFmtId="0" fontId="3" fillId="10" borderId="52" xfId="0" applyFont="1" applyFill="1" applyBorder="1" applyAlignment="1">
      <alignment horizontal="center"/>
    </xf>
    <xf numFmtId="0" fontId="3" fillId="11" borderId="52" xfId="0" applyFont="1" applyFill="1" applyBorder="1" applyAlignment="1">
      <alignment horizontal="center"/>
    </xf>
    <xf numFmtId="0" fontId="3" fillId="11" borderId="52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7" borderId="57" xfId="0" applyFont="1" applyFill="1" applyBorder="1" applyAlignment="1">
      <alignment horizontal="center" vertical="center"/>
    </xf>
    <xf numFmtId="0" fontId="3" fillId="14" borderId="52" xfId="0" applyFont="1" applyFill="1" applyBorder="1" applyAlignment="1">
      <alignment horizontal="center" vertical="center"/>
    </xf>
    <xf numFmtId="0" fontId="3" fillId="14" borderId="53" xfId="0" applyFont="1" applyFill="1" applyBorder="1" applyAlignment="1">
      <alignment horizontal="center" vertical="center"/>
    </xf>
    <xf numFmtId="0" fontId="3" fillId="14" borderId="51" xfId="0" applyFont="1" applyFill="1" applyBorder="1" applyAlignment="1">
      <alignment horizontal="center" vertical="center"/>
    </xf>
    <xf numFmtId="0" fontId="3" fillId="14" borderId="76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44" fontId="3" fillId="12" borderId="7" xfId="2" applyFont="1" applyFill="1" applyBorder="1"/>
    <xf numFmtId="44" fontId="3" fillId="12" borderId="22" xfId="2" applyFont="1" applyFill="1" applyBorder="1"/>
    <xf numFmtId="44" fontId="3" fillId="6" borderId="22" xfId="2" applyFont="1" applyFill="1" applyBorder="1"/>
    <xf numFmtId="44" fontId="3" fillId="4" borderId="22" xfId="2" applyFont="1" applyFill="1" applyBorder="1"/>
    <xf numFmtId="44" fontId="3" fillId="10" borderId="22" xfId="2" applyFont="1" applyFill="1" applyBorder="1"/>
    <xf numFmtId="44" fontId="3" fillId="11" borderId="22" xfId="2" applyFont="1" applyFill="1" applyBorder="1"/>
    <xf numFmtId="44" fontId="3" fillId="5" borderId="22" xfId="2" applyFont="1" applyFill="1" applyBorder="1"/>
    <xf numFmtId="44" fontId="3" fillId="7" borderId="70" xfId="2" applyFont="1" applyFill="1" applyBorder="1"/>
    <xf numFmtId="0" fontId="3" fillId="14" borderId="11" xfId="0" applyFont="1" applyFill="1" applyBorder="1" applyAlignment="1">
      <alignment horizontal="center" vertical="center"/>
    </xf>
    <xf numFmtId="44" fontId="3" fillId="14" borderId="32" xfId="2" applyFont="1" applyFill="1" applyBorder="1" applyAlignment="1">
      <alignment horizontal="center" vertical="center"/>
    </xf>
    <xf numFmtId="0" fontId="3" fillId="14" borderId="11" xfId="2" applyNumberFormat="1" applyFont="1" applyFill="1" applyBorder="1" applyAlignment="1">
      <alignment horizontal="center" vertical="center"/>
    </xf>
    <xf numFmtId="44" fontId="3" fillId="14" borderId="11" xfId="2" applyFont="1" applyFill="1" applyBorder="1" applyAlignment="1">
      <alignment horizontal="center" vertical="center"/>
    </xf>
    <xf numFmtId="44" fontId="3" fillId="14" borderId="77" xfId="2" applyFont="1" applyFill="1" applyBorder="1" applyAlignment="1">
      <alignment vertical="center"/>
    </xf>
    <xf numFmtId="9" fontId="15" fillId="13" borderId="21" xfId="3" applyFont="1" applyFill="1" applyBorder="1" applyAlignment="1">
      <alignment horizontal="center" vertical="center"/>
    </xf>
    <xf numFmtId="0" fontId="15" fillId="13" borderId="22" xfId="0" applyFont="1" applyFill="1" applyBorder="1" applyAlignment="1">
      <alignment horizontal="center" vertical="center"/>
    </xf>
    <xf numFmtId="10" fontId="3" fillId="7" borderId="21" xfId="3" applyNumberFormat="1" applyFont="1" applyFill="1" applyBorder="1" applyAlignment="1">
      <alignment vertical="center"/>
    </xf>
    <xf numFmtId="44" fontId="3" fillId="7" borderId="22" xfId="2" applyFont="1" applyFill="1" applyBorder="1" applyAlignment="1">
      <alignment vertical="center"/>
    </xf>
    <xf numFmtId="10" fontId="3" fillId="7" borderId="11" xfId="3" applyNumberFormat="1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0" fontId="3" fillId="7" borderId="52" xfId="0" applyFont="1" applyFill="1" applyBorder="1" applyAlignment="1">
      <alignment horizontal="center"/>
    </xf>
    <xf numFmtId="0" fontId="3" fillId="7" borderId="51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44" fontId="3" fillId="7" borderId="22" xfId="2" applyFont="1" applyFill="1" applyBorder="1"/>
    <xf numFmtId="44" fontId="3" fillId="7" borderId="51" xfId="2" applyFont="1" applyFill="1" applyBorder="1" applyAlignment="1">
      <alignment vertical="center"/>
    </xf>
    <xf numFmtId="0" fontId="3" fillId="7" borderId="21" xfId="2" applyNumberFormat="1" applyFont="1" applyFill="1" applyBorder="1" applyAlignment="1">
      <alignment horizontal="center" vertical="center"/>
    </xf>
    <xf numFmtId="44" fontId="3" fillId="7" borderId="50" xfId="2" applyFont="1" applyFill="1" applyBorder="1" applyAlignment="1">
      <alignment vertical="center"/>
    </xf>
    <xf numFmtId="44" fontId="3" fillId="7" borderId="21" xfId="2" applyFont="1" applyFill="1" applyBorder="1" applyAlignment="1">
      <alignment horizontal="center" vertical="center"/>
    </xf>
    <xf numFmtId="44" fontId="3" fillId="7" borderId="28" xfId="2" applyFont="1" applyFill="1" applyBorder="1" applyAlignment="1">
      <alignment horizontal="center" vertical="center"/>
    </xf>
    <xf numFmtId="44" fontId="3" fillId="7" borderId="58" xfId="2" applyFont="1" applyFill="1" applyBorder="1" applyAlignment="1">
      <alignment vertical="center"/>
    </xf>
    <xf numFmtId="9" fontId="3" fillId="7" borderId="52" xfId="3" applyFont="1" applyFill="1" applyBorder="1" applyAlignment="1">
      <alignment horizontal="center" vertical="center"/>
    </xf>
    <xf numFmtId="44" fontId="3" fillId="7" borderId="52" xfId="2" applyFont="1" applyFill="1" applyBorder="1" applyAlignment="1">
      <alignment vertical="center"/>
    </xf>
    <xf numFmtId="9" fontId="3" fillId="7" borderId="21" xfId="3" applyFont="1" applyFill="1" applyBorder="1" applyAlignment="1">
      <alignment vertical="center"/>
    </xf>
    <xf numFmtId="9" fontId="3" fillId="7" borderId="28" xfId="3" applyFont="1" applyFill="1" applyBorder="1" applyAlignment="1">
      <alignment vertical="center"/>
    </xf>
    <xf numFmtId="10" fontId="3" fillId="7" borderId="21" xfId="2" applyNumberFormat="1" applyFont="1" applyFill="1" applyBorder="1" applyAlignment="1">
      <alignment vertical="center"/>
    </xf>
    <xf numFmtId="44" fontId="3" fillId="7" borderId="16" xfId="2" applyFont="1" applyFill="1" applyBorder="1" applyAlignment="1">
      <alignment vertical="center"/>
    </xf>
    <xf numFmtId="10" fontId="3" fillId="7" borderId="16" xfId="2" applyNumberFormat="1" applyFont="1" applyFill="1" applyBorder="1" applyAlignment="1">
      <alignment vertical="center"/>
    </xf>
    <xf numFmtId="0" fontId="3" fillId="15" borderId="27" xfId="0" applyFont="1" applyFill="1" applyBorder="1" applyAlignment="1">
      <alignment vertical="center"/>
    </xf>
    <xf numFmtId="0" fontId="3" fillId="15" borderId="52" xfId="0" applyFont="1" applyFill="1" applyBorder="1" applyAlignment="1">
      <alignment horizontal="center"/>
    </xf>
    <xf numFmtId="0" fontId="3" fillId="15" borderId="51" xfId="0" applyFont="1" applyFill="1" applyBorder="1" applyAlignment="1">
      <alignment horizontal="center"/>
    </xf>
    <xf numFmtId="0" fontId="3" fillId="15" borderId="21" xfId="0" applyFont="1" applyFill="1" applyBorder="1" applyAlignment="1">
      <alignment horizontal="center"/>
    </xf>
    <xf numFmtId="44" fontId="3" fillId="15" borderId="22" xfId="2" applyFont="1" applyFill="1" applyBorder="1"/>
    <xf numFmtId="44" fontId="3" fillId="15" borderId="51" xfId="2" applyFont="1" applyFill="1" applyBorder="1" applyAlignment="1">
      <alignment vertical="center"/>
    </xf>
    <xf numFmtId="0" fontId="3" fillId="15" borderId="21" xfId="2" applyNumberFormat="1" applyFont="1" applyFill="1" applyBorder="1" applyAlignment="1">
      <alignment horizontal="center" vertical="center"/>
    </xf>
    <xf numFmtId="44" fontId="3" fillId="15" borderId="50" xfId="2" applyFont="1" applyFill="1" applyBorder="1" applyAlignment="1">
      <alignment vertical="center"/>
    </xf>
    <xf numFmtId="44" fontId="3" fillId="15" borderId="21" xfId="2" applyFont="1" applyFill="1" applyBorder="1" applyAlignment="1">
      <alignment horizontal="center" vertical="center"/>
    </xf>
    <xf numFmtId="44" fontId="3" fillId="15" borderId="22" xfId="2" applyFont="1" applyFill="1" applyBorder="1" applyAlignment="1">
      <alignment vertical="center"/>
    </xf>
    <xf numFmtId="44" fontId="3" fillId="15" borderId="28" xfId="2" applyFont="1" applyFill="1" applyBorder="1" applyAlignment="1">
      <alignment horizontal="center" vertical="center"/>
    </xf>
    <xf numFmtId="44" fontId="3" fillId="15" borderId="58" xfId="2" applyFont="1" applyFill="1" applyBorder="1" applyAlignment="1">
      <alignment vertical="center"/>
    </xf>
    <xf numFmtId="9" fontId="3" fillId="15" borderId="52" xfId="3" applyFont="1" applyFill="1" applyBorder="1" applyAlignment="1">
      <alignment horizontal="center" vertical="center"/>
    </xf>
    <xf numFmtId="44" fontId="3" fillId="15" borderId="52" xfId="2" applyFont="1" applyFill="1" applyBorder="1" applyAlignment="1">
      <alignment vertical="center"/>
    </xf>
    <xf numFmtId="9" fontId="3" fillId="15" borderId="21" xfId="3" applyFont="1" applyFill="1" applyBorder="1" applyAlignment="1">
      <alignment vertical="center"/>
    </xf>
    <xf numFmtId="9" fontId="3" fillId="15" borderId="28" xfId="3" applyFont="1" applyFill="1" applyBorder="1" applyAlignment="1">
      <alignment vertical="center"/>
    </xf>
    <xf numFmtId="10" fontId="3" fillId="15" borderId="21" xfId="2" applyNumberFormat="1" applyFont="1" applyFill="1" applyBorder="1" applyAlignment="1">
      <alignment vertical="center"/>
    </xf>
    <xf numFmtId="44" fontId="3" fillId="15" borderId="16" xfId="2" applyFont="1" applyFill="1" applyBorder="1" applyAlignment="1">
      <alignment vertical="center"/>
    </xf>
    <xf numFmtId="10" fontId="3" fillId="15" borderId="16" xfId="2" applyNumberFormat="1" applyFont="1" applyFill="1" applyBorder="1" applyAlignment="1">
      <alignment vertical="center"/>
    </xf>
    <xf numFmtId="10" fontId="3" fillId="15" borderId="21" xfId="3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right"/>
    </xf>
    <xf numFmtId="0" fontId="3" fillId="2" borderId="19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44" fontId="2" fillId="2" borderId="20" xfId="2" applyFont="1" applyFill="1" applyBorder="1" applyAlignment="1">
      <alignment horizontal="center"/>
    </xf>
    <xf numFmtId="44" fontId="2" fillId="2" borderId="59" xfId="2" applyFont="1" applyFill="1" applyBorder="1" applyAlignment="1">
      <alignment horizontal="center"/>
    </xf>
    <xf numFmtId="44" fontId="2" fillId="2" borderId="62" xfId="2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9" fontId="15" fillId="13" borderId="48" xfId="3" applyFont="1" applyFill="1" applyBorder="1" applyAlignment="1">
      <alignment horizontal="center" vertical="center" wrapText="1"/>
    </xf>
    <xf numFmtId="9" fontId="15" fillId="13" borderId="62" xfId="3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right"/>
    </xf>
    <xf numFmtId="0" fontId="3" fillId="2" borderId="28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15" fillId="13" borderId="2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2" borderId="17" xfId="0" applyFont="1" applyFill="1" applyBorder="1" applyAlignment="1">
      <alignment horizontal="right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3" fillId="0" borderId="40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38" xfId="0" applyFont="1" applyBorder="1" applyAlignment="1">
      <alignment horizontal="right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right"/>
    </xf>
    <xf numFmtId="0" fontId="3" fillId="2" borderId="29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33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right"/>
    </xf>
    <xf numFmtId="0" fontId="3" fillId="2" borderId="3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13" borderId="5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9" fontId="15" fillId="13" borderId="5" xfId="3" applyFont="1" applyFill="1" applyBorder="1" applyAlignment="1">
      <alignment horizontal="center"/>
    </xf>
    <xf numFmtId="9" fontId="15" fillId="13" borderId="7" xfId="3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wrapText="1"/>
    </xf>
    <xf numFmtId="0" fontId="15" fillId="13" borderId="57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vertical="center"/>
    </xf>
    <xf numFmtId="0" fontId="15" fillId="13" borderId="57" xfId="0" applyFont="1" applyFill="1" applyBorder="1" applyAlignment="1">
      <alignment horizontal="center" vertical="center"/>
    </xf>
    <xf numFmtId="0" fontId="15" fillId="13" borderId="47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5" fillId="13" borderId="47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13" borderId="2" xfId="0" applyFont="1" applyFill="1" applyBorder="1" applyAlignment="1">
      <alignment horizontal="center"/>
    </xf>
    <xf numFmtId="0" fontId="15" fillId="13" borderId="3" xfId="0" applyFont="1" applyFill="1" applyBorder="1" applyAlignment="1">
      <alignment horizontal="center"/>
    </xf>
    <xf numFmtId="9" fontId="15" fillId="13" borderId="33" xfId="0" applyNumberFormat="1" applyFont="1" applyFill="1" applyBorder="1" applyAlignment="1">
      <alignment horizontal="center"/>
    </xf>
    <xf numFmtId="9" fontId="15" fillId="13" borderId="6" xfId="0" applyNumberFormat="1" applyFont="1" applyFill="1" applyBorder="1" applyAlignment="1">
      <alignment horizontal="center"/>
    </xf>
    <xf numFmtId="9" fontId="15" fillId="13" borderId="2" xfId="0" applyNumberFormat="1" applyFont="1" applyFill="1" applyBorder="1" applyAlignment="1">
      <alignment horizontal="center"/>
    </xf>
    <xf numFmtId="9" fontId="15" fillId="13" borderId="3" xfId="0" applyNumberFormat="1" applyFont="1" applyFill="1" applyBorder="1" applyAlignment="1">
      <alignment horizontal="center"/>
    </xf>
    <xf numFmtId="9" fontId="15" fillId="13" borderId="5" xfId="0" applyNumberFormat="1" applyFont="1" applyFill="1" applyBorder="1" applyAlignment="1">
      <alignment horizontal="center"/>
    </xf>
    <xf numFmtId="9" fontId="15" fillId="13" borderId="4" xfId="0" applyNumberFormat="1" applyFont="1" applyFill="1" applyBorder="1" applyAlignment="1">
      <alignment horizontal="center"/>
    </xf>
    <xf numFmtId="9" fontId="15" fillId="13" borderId="7" xfId="0" applyNumberFormat="1" applyFont="1" applyFill="1" applyBorder="1" applyAlignment="1">
      <alignment horizontal="center"/>
    </xf>
    <xf numFmtId="0" fontId="15" fillId="13" borderId="4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5" fillId="13" borderId="48" xfId="0" applyFont="1" applyFill="1" applyBorder="1" applyAlignment="1">
      <alignment horizontal="center" vertical="center" wrapText="1"/>
    </xf>
    <xf numFmtId="0" fontId="15" fillId="13" borderId="62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/>
    <xf numFmtId="0" fontId="12" fillId="0" borderId="16" xfId="0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165" fontId="14" fillId="0" borderId="16" xfId="0" applyNumberFormat="1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F2CEEF"/>
      <color rgb="FFF38705"/>
      <color rgb="FFFFCB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0C25-2B3D-5B49-861B-18684AD6D453}">
  <dimension ref="A1:AZ124"/>
  <sheetViews>
    <sheetView tabSelected="1" zoomScale="150" workbookViewId="0">
      <pane xSplit="2" ySplit="5" topLeftCell="AL49" activePane="bottomRight" state="frozen"/>
      <selection pane="topRight" activeCell="C1" sqref="C1"/>
      <selection pane="bottomLeft" activeCell="A6" sqref="A6"/>
      <selection pane="bottomRight" activeCell="T54" sqref="T54"/>
    </sheetView>
  </sheetViews>
  <sheetFormatPr baseColWidth="10" defaultColWidth="11.5" defaultRowHeight="16" x14ac:dyDescent="0.2"/>
  <cols>
    <col min="1" max="1" width="14" style="45" bestFit="1" customWidth="1"/>
    <col min="2" max="2" width="68.5" style="45" bestFit="1" customWidth="1"/>
    <col min="3" max="3" width="11.5" style="57"/>
    <col min="4" max="6" width="11.5" style="57" customWidth="1"/>
    <col min="7" max="7" width="8.6640625" style="57" customWidth="1"/>
    <col min="8" max="8" width="12.33203125" style="57" customWidth="1"/>
    <col min="9" max="9" width="12" style="45" customWidth="1"/>
    <col min="10" max="11" width="10.5" style="45" customWidth="1"/>
    <col min="12" max="12" width="6.5" style="45" customWidth="1"/>
    <col min="13" max="13" width="17.5" style="45" customWidth="1"/>
    <col min="14" max="14" width="7.5" style="45" customWidth="1"/>
    <col min="15" max="15" width="14.6640625" style="45" customWidth="1"/>
    <col min="16" max="16" width="7.5" style="45" customWidth="1"/>
    <col min="17" max="17" width="14.6640625" style="45" customWidth="1"/>
    <col min="18" max="18" width="13.1640625" style="45" customWidth="1"/>
    <col min="19" max="19" width="11" style="45" customWidth="1"/>
    <col min="20" max="20" width="13.1640625" style="45" customWidth="1"/>
    <col min="21" max="21" width="4.6640625" style="58" customWidth="1"/>
    <col min="22" max="22" width="13.1640625" style="45" customWidth="1"/>
    <col min="23" max="23" width="4.6640625" style="45" customWidth="1"/>
    <col min="24" max="24" width="13.1640625" style="45" customWidth="1"/>
    <col min="25" max="25" width="4.6640625" style="45" customWidth="1"/>
    <col min="26" max="26" width="13.1640625" style="45" customWidth="1"/>
    <col min="27" max="27" width="7.1640625" style="45" customWidth="1"/>
    <col min="28" max="28" width="12" style="45" customWidth="1"/>
    <col min="29" max="29" width="7.1640625" style="45" customWidth="1"/>
    <col min="30" max="30" width="13.1640625" style="154" customWidth="1"/>
    <col min="31" max="31" width="4.6640625" style="45" customWidth="1"/>
    <col min="32" max="32" width="12.6640625" style="45" customWidth="1"/>
    <col min="33" max="33" width="4.6640625" style="58" customWidth="1"/>
    <col min="34" max="34" width="13.1640625" style="45" customWidth="1"/>
    <col min="35" max="35" width="4.6640625" style="58" customWidth="1"/>
    <col min="36" max="36" width="13.1640625" style="45" customWidth="1"/>
    <col min="37" max="37" width="7.1640625" style="58" customWidth="1"/>
    <col min="38" max="42" width="13.1640625" style="45" customWidth="1"/>
    <col min="43" max="43" width="11.5" style="46"/>
    <col min="44" max="44" width="5.33203125" style="45" customWidth="1"/>
    <col min="45" max="45" width="24.1640625" style="45" customWidth="1"/>
    <col min="46" max="46" width="14.5" style="45" customWidth="1"/>
    <col min="47" max="47" width="9.1640625" style="45" customWidth="1"/>
    <col min="48" max="49" width="16" style="45" customWidth="1"/>
    <col min="50" max="50" width="21" style="45" customWidth="1"/>
    <col min="51" max="51" width="14.1640625" style="45" bestFit="1" customWidth="1"/>
    <col min="52" max="16384" width="11.5" style="45"/>
  </cols>
  <sheetData>
    <row r="1" spans="1:52" ht="17" thickBot="1" x14ac:dyDescent="0.25">
      <c r="A1" s="2"/>
      <c r="B1" s="2"/>
      <c r="C1" s="30"/>
      <c r="D1" s="30"/>
      <c r="E1" s="30"/>
      <c r="F1" s="30"/>
      <c r="G1" s="30"/>
      <c r="H1" s="3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1"/>
      <c r="V1" s="2"/>
      <c r="W1" s="2"/>
      <c r="X1" s="2"/>
      <c r="Y1" s="2"/>
      <c r="Z1" s="2"/>
      <c r="AA1" s="2"/>
      <c r="AB1" s="2"/>
      <c r="AC1" s="2"/>
      <c r="AD1" s="153"/>
      <c r="AE1" s="2"/>
      <c r="AF1" s="2"/>
      <c r="AG1" s="51"/>
      <c r="AH1" s="2"/>
      <c r="AI1" s="51"/>
      <c r="AJ1" s="2"/>
      <c r="AK1" s="51"/>
      <c r="AL1" s="2"/>
      <c r="AM1" s="2"/>
      <c r="AN1" s="2"/>
      <c r="AO1" s="2"/>
      <c r="AP1" s="2"/>
      <c r="AQ1" s="1"/>
      <c r="AR1" s="2"/>
      <c r="AS1" s="2"/>
      <c r="AT1" s="2"/>
      <c r="AU1" s="2"/>
      <c r="AV1" s="2"/>
      <c r="AW1" s="2"/>
      <c r="AX1" s="2"/>
      <c r="AY1" s="2"/>
      <c r="AZ1" s="2"/>
    </row>
    <row r="2" spans="1:52" ht="17" thickBot="1" x14ac:dyDescent="0.25">
      <c r="A2" s="2"/>
      <c r="B2" s="281"/>
      <c r="C2" s="282"/>
      <c r="D2" s="282"/>
      <c r="E2" s="282"/>
      <c r="F2" s="282"/>
      <c r="G2" s="282"/>
      <c r="H2" s="282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4"/>
      <c r="V2" s="283"/>
      <c r="W2" s="283"/>
      <c r="X2" s="283"/>
      <c r="Y2" s="283"/>
      <c r="Z2" s="283"/>
      <c r="AA2" s="283"/>
      <c r="AB2" s="283"/>
      <c r="AC2" s="283"/>
      <c r="AD2" s="285"/>
      <c r="AE2" s="283"/>
      <c r="AF2" s="283"/>
      <c r="AG2" s="284"/>
      <c r="AH2" s="283"/>
      <c r="AI2" s="284"/>
      <c r="AJ2" s="283"/>
      <c r="AK2" s="318"/>
      <c r="AL2" s="286"/>
      <c r="AM2" s="283"/>
      <c r="AN2" s="283"/>
      <c r="AO2" s="283"/>
      <c r="AP2" s="286"/>
      <c r="AQ2" s="1"/>
      <c r="AR2" s="2"/>
      <c r="AS2" s="2"/>
      <c r="AT2" s="2"/>
      <c r="AU2" s="2"/>
      <c r="AV2" s="2"/>
      <c r="AW2" s="2"/>
      <c r="AX2" s="2"/>
      <c r="AY2" s="2"/>
      <c r="AZ2" s="2"/>
    </row>
    <row r="3" spans="1:52" ht="17" thickBot="1" x14ac:dyDescent="0.25">
      <c r="A3" s="2"/>
      <c r="B3" s="287"/>
      <c r="C3" s="30"/>
      <c r="D3" s="30"/>
      <c r="E3" s="30"/>
      <c r="F3" s="30"/>
      <c r="G3" s="346"/>
      <c r="H3" s="347"/>
      <c r="I3" s="2"/>
      <c r="J3" s="2"/>
      <c r="K3" s="2"/>
      <c r="L3" s="281"/>
      <c r="M3" s="286"/>
      <c r="N3" s="2"/>
      <c r="O3" s="2"/>
      <c r="P3" s="281"/>
      <c r="Q3" s="286"/>
      <c r="R3" s="2"/>
      <c r="S3" s="2"/>
      <c r="T3" s="2"/>
      <c r="U3" s="288"/>
      <c r="V3" s="2"/>
      <c r="W3" s="2"/>
      <c r="X3" s="2"/>
      <c r="Y3" s="2"/>
      <c r="Z3" s="2"/>
      <c r="AA3" s="2"/>
      <c r="AB3" s="2"/>
      <c r="AC3" s="2"/>
      <c r="AD3" s="289"/>
      <c r="AE3" s="2"/>
      <c r="AF3" s="2"/>
      <c r="AG3" s="288"/>
      <c r="AH3" s="2"/>
      <c r="AI3" s="288"/>
      <c r="AJ3" s="2"/>
      <c r="AK3" s="319"/>
      <c r="AL3" s="290"/>
      <c r="AM3" s="2"/>
      <c r="AN3" s="2"/>
      <c r="AO3" s="2"/>
      <c r="AP3" s="290"/>
      <c r="AQ3" s="1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26" t="s">
        <v>70</v>
      </c>
      <c r="B4" s="426" t="s">
        <v>0</v>
      </c>
      <c r="C4" s="469" t="s">
        <v>1</v>
      </c>
      <c r="D4" s="471" t="s">
        <v>69</v>
      </c>
      <c r="E4" s="418" t="s">
        <v>118</v>
      </c>
      <c r="F4" s="473" t="s">
        <v>2</v>
      </c>
      <c r="G4" s="475" t="s">
        <v>3</v>
      </c>
      <c r="H4" s="476"/>
      <c r="I4" s="471" t="s">
        <v>4</v>
      </c>
      <c r="J4" s="475" t="s">
        <v>5</v>
      </c>
      <c r="K4" s="420"/>
      <c r="L4" s="485" t="s">
        <v>6</v>
      </c>
      <c r="M4" s="486"/>
      <c r="N4" s="420" t="s">
        <v>97</v>
      </c>
      <c r="O4" s="420"/>
      <c r="P4" s="475" t="s">
        <v>7</v>
      </c>
      <c r="Q4" s="476"/>
      <c r="R4" s="487" t="s">
        <v>8</v>
      </c>
      <c r="S4" s="418" t="s">
        <v>102</v>
      </c>
      <c r="T4" s="469" t="s">
        <v>9</v>
      </c>
      <c r="U4" s="463" t="s">
        <v>10</v>
      </c>
      <c r="V4" s="464"/>
      <c r="W4" s="477" t="s">
        <v>11</v>
      </c>
      <c r="X4" s="478"/>
      <c r="Y4" s="479" t="s">
        <v>12</v>
      </c>
      <c r="Z4" s="480"/>
      <c r="AA4" s="481" t="s">
        <v>13</v>
      </c>
      <c r="AB4" s="482"/>
      <c r="AC4" s="482"/>
      <c r="AD4" s="483"/>
      <c r="AE4" s="484" t="s">
        <v>14</v>
      </c>
      <c r="AF4" s="484"/>
      <c r="AG4" s="475" t="s">
        <v>15</v>
      </c>
      <c r="AH4" s="476"/>
      <c r="AI4" s="420" t="s">
        <v>16</v>
      </c>
      <c r="AJ4" s="420"/>
      <c r="AK4" s="465" t="s">
        <v>17</v>
      </c>
      <c r="AL4" s="466"/>
      <c r="AM4" s="416" t="s">
        <v>107</v>
      </c>
      <c r="AN4" s="418" t="s">
        <v>108</v>
      </c>
      <c r="AO4" s="467" t="s">
        <v>68</v>
      </c>
      <c r="AP4" s="467" t="s">
        <v>96</v>
      </c>
      <c r="AQ4" s="1"/>
      <c r="AR4" s="2"/>
      <c r="AS4" s="2"/>
      <c r="AT4" s="2"/>
      <c r="AU4" s="2"/>
      <c r="AV4" s="2"/>
      <c r="AW4" s="2"/>
      <c r="AX4" s="2"/>
      <c r="AY4" s="2"/>
      <c r="AZ4" s="2"/>
    </row>
    <row r="5" spans="1:52" ht="17" thickBot="1" x14ac:dyDescent="0.25">
      <c r="A5" s="427"/>
      <c r="B5" s="427"/>
      <c r="C5" s="470"/>
      <c r="D5" s="472"/>
      <c r="E5" s="419"/>
      <c r="F5" s="474"/>
      <c r="G5" s="233" t="s">
        <v>19</v>
      </c>
      <c r="H5" s="234" t="s">
        <v>20</v>
      </c>
      <c r="I5" s="472"/>
      <c r="J5" s="235" t="s">
        <v>21</v>
      </c>
      <c r="K5" s="236" t="s">
        <v>20</v>
      </c>
      <c r="L5" s="237" t="s">
        <v>21</v>
      </c>
      <c r="M5" s="238" t="s">
        <v>20</v>
      </c>
      <c r="N5" s="239" t="s">
        <v>21</v>
      </c>
      <c r="O5" s="236" t="s">
        <v>20</v>
      </c>
      <c r="P5" s="235" t="s">
        <v>21</v>
      </c>
      <c r="Q5" s="240" t="s">
        <v>20</v>
      </c>
      <c r="R5" s="488"/>
      <c r="S5" s="419"/>
      <c r="T5" s="489"/>
      <c r="U5" s="241" t="s">
        <v>22</v>
      </c>
      <c r="V5" s="238" t="s">
        <v>23</v>
      </c>
      <c r="W5" s="242" t="s">
        <v>22</v>
      </c>
      <c r="X5" s="306" t="s">
        <v>23</v>
      </c>
      <c r="Y5" s="235" t="s">
        <v>22</v>
      </c>
      <c r="Z5" s="240" t="s">
        <v>23</v>
      </c>
      <c r="AA5" s="243" t="s">
        <v>22</v>
      </c>
      <c r="AB5" s="244" t="s">
        <v>106</v>
      </c>
      <c r="AC5" s="245" t="s">
        <v>22</v>
      </c>
      <c r="AD5" s="246" t="s">
        <v>105</v>
      </c>
      <c r="AE5" s="239" t="s">
        <v>22</v>
      </c>
      <c r="AF5" s="236" t="s">
        <v>23</v>
      </c>
      <c r="AG5" s="241" t="s">
        <v>22</v>
      </c>
      <c r="AH5" s="238" t="s">
        <v>23</v>
      </c>
      <c r="AI5" s="302" t="s">
        <v>22</v>
      </c>
      <c r="AJ5" s="306" t="s">
        <v>23</v>
      </c>
      <c r="AK5" s="361" t="s">
        <v>22</v>
      </c>
      <c r="AL5" s="362" t="s">
        <v>23</v>
      </c>
      <c r="AM5" s="417"/>
      <c r="AN5" s="419"/>
      <c r="AO5" s="468"/>
      <c r="AP5" s="468"/>
      <c r="AQ5" s="1"/>
      <c r="AR5" s="2"/>
      <c r="AS5" s="2"/>
      <c r="AT5" s="2"/>
      <c r="AU5" s="2"/>
      <c r="AV5" s="2"/>
      <c r="AW5" s="2"/>
      <c r="AX5" s="2"/>
      <c r="AY5" s="2"/>
      <c r="AZ5" s="2"/>
    </row>
    <row r="6" spans="1:52" ht="17" thickBot="1" x14ac:dyDescent="0.25">
      <c r="A6" s="125"/>
      <c r="B6" s="201" t="s">
        <v>24</v>
      </c>
      <c r="C6" s="331">
        <v>300</v>
      </c>
      <c r="D6" s="321">
        <v>1</v>
      </c>
      <c r="E6" s="331" t="str">
        <f>CONCATENATE((C6*D6)/1000," kg")</f>
        <v>0,3 kg</v>
      </c>
      <c r="F6" s="321">
        <v>3</v>
      </c>
      <c r="G6" s="202"/>
      <c r="H6" s="348">
        <f t="shared" ref="H6:H57" si="0">(IF(F6=1,0,IF(F6=2,0,IF(F6=3,0,IF(F6=4,0,IF(F6=5,IF(G6=1,$AT$107,IF(G6=2,$AT$108,IF(G6=3,$AT$109,IF(G6=4,$AT$110)))),IF(F6=6,IF(G6=1,$AT$107,IF(G6=2,$AT$108,IF(G6=3,$AT$109,IF(G6=4,$AT$110))))))))))/1000*C6*D6)</f>
        <v>0</v>
      </c>
      <c r="I6" s="209">
        <f>IF(F6=1,$AX$19,IF(F6=2,$AX$35,IF(F6=3,$AX$52,IF(F6=4,$AX$69,IF(F6=5,$AX$86,IF(F6=6,$AX$103,IF(F6=7,$AT$114,IF(F6=8,$AT$115,IF(F6=9,$AT$116,IF(F6=10,$AT$117,IF(F6=11,$AT$118,IF(F6=12,$AT$119))))))))))))/1000*C6*D6</f>
        <v>3.6846349953477784</v>
      </c>
      <c r="J6" s="203" t="s">
        <v>25</v>
      </c>
      <c r="K6" s="211">
        <f t="shared" ref="K6:K23" si="1">IF(J6="s",IF(F6=1,$AT$16,IF(F6=2,$AT$32,IF(F6=3,$AT$49,IF(F6=4,$AT$66,IF(F6=5,$AT$83,IF(F6=6,$AT$100,IF(F6=7,$AX$114,IF(F6=8,$AX$114,IF(F6=9,$AX$117,IF(F6=10,$AX$117,IF(F6=11,$AX$120,IF(F6=12,$AX$120))))))))))))*D6,0)</f>
        <v>0.09</v>
      </c>
      <c r="L6" s="205" t="s">
        <v>25</v>
      </c>
      <c r="M6" s="308">
        <f t="shared" ref="M6:M58" si="2">IF(L6="S",IF(F6=1,$AT$17,IF(F6=2,$AT$33,IF(F6=3,$AT$50,IF(F6=4,$AT$67,IF(F6=5,$AT$84,IF(F6=6,$AT$101,IF(F6=7,$AX$115,IF(F6=8,$AX$115))))))))*$D6,0)</f>
        <v>1.1499999999999999</v>
      </c>
      <c r="N6" s="206"/>
      <c r="O6" s="165">
        <f t="shared" ref="O6:O23" si="3">IF(N6="s",IF(F6=1,$AT$18,IF(F6=2,$AT$34,IF(F6=3,$AT$51,IF(F6=4,$AT$68,IF(F6=5,$AT$85,IF(F6=6,$AV$102,IF(F6=7,$AX$115,IF(F6=8,$AX$115,IF(F6=9,$AX$118,IF(F6=10,$AX$118,IF(F6=11,$AX$121,IF(F6=12,$AX$121))))))))))))*D6,0)</f>
        <v>0</v>
      </c>
      <c r="P6" s="203"/>
      <c r="Q6" s="204">
        <f t="shared" ref="Q6:Q22" si="4">IF(P6="s",IF(F6=1,$AT$19,IF(F6=2,$AT$35,IF(F6=3,$AT$52,IF(F6=4,$AT$69,IF(F6=5,$AT$86,IF(F6=6,$AT$103,IF(F6=7,$AX$116,IF(F6=8,$AX$116,IF(F6=9,$AX$119,IF(F6=10,$AX$119,IF(F6=11,$AX$122,IF(F6=12,$AX$122)))))))))))),0)</f>
        <v>0</v>
      </c>
      <c r="R6" s="207">
        <f t="shared" ref="R6:R51" si="5">H6+I6+K6+M6+O6+Q6</f>
        <v>4.9246349953477786</v>
      </c>
      <c r="S6" s="208">
        <v>0.3</v>
      </c>
      <c r="T6" s="215">
        <f>R6/(1-S6)</f>
        <v>7.0351928504968271</v>
      </c>
      <c r="U6" s="210">
        <v>0.12</v>
      </c>
      <c r="V6" s="204">
        <f t="shared" ref="V6:V57" si="6">U6*AN6</f>
        <v>2.640000315874389</v>
      </c>
      <c r="W6" s="214">
        <v>0.05</v>
      </c>
      <c r="X6" s="211">
        <f t="shared" ref="X6:X57" si="7">W6*AN6</f>
        <v>1.1000001316143289</v>
      </c>
      <c r="Y6" s="210">
        <v>0.08</v>
      </c>
      <c r="Z6" s="204">
        <f t="shared" ref="Z6:Z57" si="8">Y6*AN6</f>
        <v>1.7600002105829262</v>
      </c>
      <c r="AA6" s="307">
        <v>4.4999999999999998E-2</v>
      </c>
      <c r="AB6" s="213">
        <f t="shared" ref="AB6:AB57" si="9">AA6*AN6</f>
        <v>0.99000011845289593</v>
      </c>
      <c r="AC6" s="212">
        <v>6.3E-2</v>
      </c>
      <c r="AD6" s="308">
        <f>AN6*AC6</f>
        <v>1.3860001658340544</v>
      </c>
      <c r="AE6" s="214"/>
      <c r="AF6" s="211">
        <f t="shared" ref="AF6:AF57" si="10">AE6*AN6</f>
        <v>0</v>
      </c>
      <c r="AG6" s="210"/>
      <c r="AH6" s="204">
        <f t="shared" ref="AH6:AH57" si="11">AG6*AN6</f>
        <v>0</v>
      </c>
      <c r="AI6" s="214"/>
      <c r="AJ6" s="211">
        <f t="shared" ref="AJ6:AJ57" si="12">AI6*AN6</f>
        <v>0</v>
      </c>
      <c r="AK6" s="230">
        <v>0.32221854505725478</v>
      </c>
      <c r="AL6" s="220">
        <f t="shared" ref="AL6:AL57" si="13">AK6*AN6</f>
        <v>7.0888088394311559</v>
      </c>
      <c r="AM6" s="207">
        <f>AN6/(1+AC6)</f>
        <v>20.696145467814279</v>
      </c>
      <c r="AN6" s="215">
        <f>T6/(1-(IF(U6&gt;0,U6,0)+IF(W6&gt;0,W6,0)+IF(Y6&gt;0,Y6,0)+IF(AA6&gt;0,AA6,0)+IF(AC6&gt;0,AC6,0)+IF(AE6&gt;0,AE6,0)+IF(AG6&gt;0,AG6,0)+IF(AI6&gt;0,AI6,0)+IF(AK6&gt;0,AK6,0)))</f>
        <v>22.000002632286577</v>
      </c>
      <c r="AO6" s="216"/>
      <c r="AP6" s="217"/>
      <c r="AQ6" s="1"/>
      <c r="AR6" s="413" t="s">
        <v>26</v>
      </c>
      <c r="AS6" s="414"/>
      <c r="AT6" s="414"/>
      <c r="AU6" s="414"/>
      <c r="AV6" s="414"/>
      <c r="AW6" s="414"/>
      <c r="AX6" s="415"/>
      <c r="AY6" s="2"/>
      <c r="AZ6" s="2"/>
    </row>
    <row r="7" spans="1:52" ht="17" thickBot="1" x14ac:dyDescent="0.25">
      <c r="A7" s="125"/>
      <c r="B7" s="201" t="s">
        <v>27</v>
      </c>
      <c r="C7" s="332">
        <v>300</v>
      </c>
      <c r="D7" s="322">
        <v>1</v>
      </c>
      <c r="E7" s="332" t="str">
        <f t="shared" ref="E7:E57" si="14">CONCATENATE((C7*D7)/1000," kg")</f>
        <v>0,3 kg</v>
      </c>
      <c r="F7" s="322">
        <v>2</v>
      </c>
      <c r="G7" s="218"/>
      <c r="H7" s="349">
        <f t="shared" si="0"/>
        <v>0</v>
      </c>
      <c r="I7" s="225">
        <f t="shared" ref="I7:I53" si="15">IF(F7=1,$AX$19,IF(F7=2,$AX$35,IF(F7=3,$AX$52,IF(F7=4,$AX$69,IF(F7=5,$AX$86,IF(F7=6,$AX$103,IF(F7=7,$AT$114,IF(F7=8,$AT$115,IF(F7=9,$AT$116,IF(F7=10,$AT$117,IF(F7=11,$AT$118,IF(F7=12,$AT$119))))))))))))/1000*C7*D7</f>
        <v>2.9569104859335038</v>
      </c>
      <c r="J7" s="219" t="s">
        <v>25</v>
      </c>
      <c r="K7" s="221">
        <f t="shared" si="1"/>
        <v>0.1</v>
      </c>
      <c r="L7" s="219" t="s">
        <v>25</v>
      </c>
      <c r="M7" s="220">
        <f t="shared" si="2"/>
        <v>1.1599999999999999</v>
      </c>
      <c r="N7" s="222"/>
      <c r="O7" s="165">
        <f t="shared" si="3"/>
        <v>0</v>
      </c>
      <c r="P7" s="219"/>
      <c r="Q7" s="220">
        <f t="shared" si="4"/>
        <v>0</v>
      </c>
      <c r="R7" s="223">
        <f t="shared" si="5"/>
        <v>4.2169104859335036</v>
      </c>
      <c r="S7" s="224">
        <v>0.3</v>
      </c>
      <c r="T7" s="231">
        <f t="shared" ref="T7:T57" si="16">R7/(1-S7)</f>
        <v>6.0241578370478628</v>
      </c>
      <c r="U7" s="226">
        <v>0.12</v>
      </c>
      <c r="V7" s="220">
        <f t="shared" si="6"/>
        <v>2.3999476921880887</v>
      </c>
      <c r="W7" s="229">
        <v>0.05</v>
      </c>
      <c r="X7" s="221">
        <f t="shared" si="7"/>
        <v>0.99997820507837043</v>
      </c>
      <c r="Y7" s="226">
        <v>0.08</v>
      </c>
      <c r="Z7" s="220">
        <f t="shared" si="8"/>
        <v>1.5999651281253926</v>
      </c>
      <c r="AA7" s="309">
        <v>4.4999999999999998E-2</v>
      </c>
      <c r="AB7" s="228">
        <f t="shared" si="9"/>
        <v>0.89998038457053331</v>
      </c>
      <c r="AC7" s="227">
        <v>6.3E-2</v>
      </c>
      <c r="AD7" s="220">
        <f t="shared" ref="AD7:AD57" si="17">AN7*AC7</f>
        <v>1.2599725383987468</v>
      </c>
      <c r="AE7" s="229"/>
      <c r="AF7" s="221">
        <f t="shared" si="10"/>
        <v>0</v>
      </c>
      <c r="AG7" s="226"/>
      <c r="AH7" s="220">
        <f t="shared" si="11"/>
        <v>0</v>
      </c>
      <c r="AI7" s="229"/>
      <c r="AJ7" s="221">
        <f t="shared" si="12"/>
        <v>0</v>
      </c>
      <c r="AK7" s="230">
        <v>0.34078554320212734</v>
      </c>
      <c r="AL7" s="220">
        <f t="shared" si="13"/>
        <v>6.8155623161584149</v>
      </c>
      <c r="AM7" s="223">
        <f t="shared" ref="AM7:AM57" si="18">AN7/(1+AC7)</f>
        <v>18.814265382471692</v>
      </c>
      <c r="AN7" s="231">
        <f t="shared" ref="AN7:AN57" si="19">T7/(1-(IF(U7&gt;0,U7,0)+IF(W7&gt;0,W7,0)+IF(Y7&gt;0,Y7,0)+IF(AA7&gt;0,AA7,0)+IF(AC7&gt;0,AC7,0)+IF(AE7&gt;0,AE7,0)+IF(AG7&gt;0,AG7,0)+IF(AI7&gt;0,AI7,0)+IF(AK7&gt;0,AK7,0)))</f>
        <v>19.999564101567408</v>
      </c>
      <c r="AO7" s="225"/>
      <c r="AP7" s="231"/>
      <c r="AQ7" s="1"/>
      <c r="AR7" s="428" t="s">
        <v>28</v>
      </c>
      <c r="AS7" s="429"/>
      <c r="AT7" s="429"/>
      <c r="AU7" s="429"/>
      <c r="AV7" s="429"/>
      <c r="AW7" s="430"/>
      <c r="AX7" s="4">
        <v>200</v>
      </c>
      <c r="AY7" s="2"/>
      <c r="AZ7" s="2"/>
    </row>
    <row r="8" spans="1:52" x14ac:dyDescent="0.2">
      <c r="A8" s="125"/>
      <c r="B8" s="201" t="s">
        <v>29</v>
      </c>
      <c r="C8" s="332">
        <v>300</v>
      </c>
      <c r="D8" s="322">
        <v>1</v>
      </c>
      <c r="E8" s="332" t="str">
        <f t="shared" si="14"/>
        <v>0,3 kg</v>
      </c>
      <c r="F8" s="322">
        <v>2</v>
      </c>
      <c r="G8" s="218"/>
      <c r="H8" s="349">
        <f t="shared" si="0"/>
        <v>0</v>
      </c>
      <c r="I8" s="225">
        <f t="shared" si="15"/>
        <v>2.9569104859335038</v>
      </c>
      <c r="J8" s="219" t="s">
        <v>25</v>
      </c>
      <c r="K8" s="221">
        <f t="shared" si="1"/>
        <v>0.1</v>
      </c>
      <c r="L8" s="219" t="s">
        <v>25</v>
      </c>
      <c r="M8" s="220">
        <f t="shared" si="2"/>
        <v>1.1599999999999999</v>
      </c>
      <c r="N8" s="222"/>
      <c r="O8" s="165">
        <f t="shared" si="3"/>
        <v>0</v>
      </c>
      <c r="P8" s="219"/>
      <c r="Q8" s="220">
        <f t="shared" si="4"/>
        <v>0</v>
      </c>
      <c r="R8" s="223">
        <f t="shared" si="5"/>
        <v>4.2169104859335036</v>
      </c>
      <c r="S8" s="224">
        <v>0.3</v>
      </c>
      <c r="T8" s="231">
        <f t="shared" si="16"/>
        <v>6.0241578370478628</v>
      </c>
      <c r="U8" s="226">
        <v>0.12</v>
      </c>
      <c r="V8" s="220">
        <f t="shared" si="6"/>
        <v>2.3999476921880887</v>
      </c>
      <c r="W8" s="229">
        <v>0.05</v>
      </c>
      <c r="X8" s="221">
        <f t="shared" si="7"/>
        <v>0.99997820507837043</v>
      </c>
      <c r="Y8" s="226">
        <v>0.08</v>
      </c>
      <c r="Z8" s="220">
        <f t="shared" si="8"/>
        <v>1.5999651281253926</v>
      </c>
      <c r="AA8" s="309">
        <v>4.4999999999999998E-2</v>
      </c>
      <c r="AB8" s="228">
        <f t="shared" si="9"/>
        <v>0.89998038457053331</v>
      </c>
      <c r="AC8" s="227">
        <v>6.3E-2</v>
      </c>
      <c r="AD8" s="220">
        <f t="shared" si="17"/>
        <v>1.2599725383987468</v>
      </c>
      <c r="AE8" s="229"/>
      <c r="AF8" s="221">
        <f t="shared" si="10"/>
        <v>0</v>
      </c>
      <c r="AG8" s="226"/>
      <c r="AH8" s="220">
        <f t="shared" si="11"/>
        <v>0</v>
      </c>
      <c r="AI8" s="229"/>
      <c r="AJ8" s="221">
        <f t="shared" si="12"/>
        <v>0</v>
      </c>
      <c r="AK8" s="230">
        <v>0.34078554320212734</v>
      </c>
      <c r="AL8" s="220">
        <f t="shared" si="13"/>
        <v>6.8155623161584149</v>
      </c>
      <c r="AM8" s="223">
        <f t="shared" si="18"/>
        <v>18.814265382471692</v>
      </c>
      <c r="AN8" s="231">
        <f t="shared" si="19"/>
        <v>19.999564101567408</v>
      </c>
      <c r="AO8" s="291"/>
      <c r="AP8" s="231"/>
      <c r="AQ8" s="1"/>
      <c r="AR8" s="461" t="s">
        <v>30</v>
      </c>
      <c r="AS8" s="462"/>
      <c r="AT8" s="458" t="s">
        <v>31</v>
      </c>
      <c r="AU8" s="459"/>
      <c r="AV8" s="459"/>
      <c r="AW8" s="458" t="s">
        <v>32</v>
      </c>
      <c r="AX8" s="460"/>
      <c r="AY8" s="2"/>
      <c r="AZ8" s="2"/>
    </row>
    <row r="9" spans="1:52" x14ac:dyDescent="0.2">
      <c r="A9" s="125"/>
      <c r="B9" s="201" t="s">
        <v>61</v>
      </c>
      <c r="C9" s="333">
        <v>300</v>
      </c>
      <c r="D9" s="323">
        <v>20</v>
      </c>
      <c r="E9" s="333" t="str">
        <f t="shared" si="14"/>
        <v>6 kg</v>
      </c>
      <c r="F9" s="323">
        <v>3</v>
      </c>
      <c r="G9" s="232"/>
      <c r="H9" s="349">
        <f t="shared" si="0"/>
        <v>0</v>
      </c>
      <c r="I9" s="225">
        <f t="shared" si="15"/>
        <v>73.692699906955568</v>
      </c>
      <c r="J9" s="219" t="s">
        <v>25</v>
      </c>
      <c r="K9" s="221">
        <f t="shared" si="1"/>
        <v>1.7999999999999998</v>
      </c>
      <c r="L9" s="219" t="s">
        <v>25</v>
      </c>
      <c r="M9" s="220">
        <f t="shared" si="2"/>
        <v>23</v>
      </c>
      <c r="N9" s="222"/>
      <c r="O9" s="165">
        <f t="shared" si="3"/>
        <v>0</v>
      </c>
      <c r="P9" s="219" t="s">
        <v>25</v>
      </c>
      <c r="Q9" s="220">
        <f t="shared" si="4"/>
        <v>3</v>
      </c>
      <c r="R9" s="223">
        <f t="shared" si="5"/>
        <v>101.49269990695556</v>
      </c>
      <c r="S9" s="224">
        <v>0.3</v>
      </c>
      <c r="T9" s="231">
        <f t="shared" si="16"/>
        <v>144.98957129565082</v>
      </c>
      <c r="U9" s="226">
        <v>0.02</v>
      </c>
      <c r="V9" s="220">
        <f t="shared" si="6"/>
        <v>7.3400014889978173</v>
      </c>
      <c r="W9" s="229">
        <v>0.1</v>
      </c>
      <c r="X9" s="221">
        <f t="shared" si="7"/>
        <v>36.70000744498909</v>
      </c>
      <c r="Y9" s="226">
        <v>0.12</v>
      </c>
      <c r="Z9" s="220">
        <f t="shared" si="8"/>
        <v>44.040008933986904</v>
      </c>
      <c r="AA9" s="309">
        <v>4.4999999999999998E-2</v>
      </c>
      <c r="AB9" s="228">
        <f t="shared" si="9"/>
        <v>16.515003350245088</v>
      </c>
      <c r="AC9" s="227">
        <v>6.3E-2</v>
      </c>
      <c r="AD9" s="220">
        <f t="shared" si="17"/>
        <v>23.121004690343124</v>
      </c>
      <c r="AE9" s="229">
        <v>0.02</v>
      </c>
      <c r="AF9" s="221">
        <f t="shared" si="10"/>
        <v>7.3400014889978173</v>
      </c>
      <c r="AG9" s="226">
        <v>0.04</v>
      </c>
      <c r="AH9" s="220">
        <f t="shared" si="11"/>
        <v>14.680002977995635</v>
      </c>
      <c r="AI9" s="229">
        <v>0.05</v>
      </c>
      <c r="AJ9" s="221">
        <f t="shared" si="12"/>
        <v>18.350003722494545</v>
      </c>
      <c r="AK9" s="230">
        <v>0.14693312838429065</v>
      </c>
      <c r="AL9" s="220">
        <f t="shared" si="13"/>
        <v>53.924469056190041</v>
      </c>
      <c r="AM9" s="223">
        <f t="shared" si="18"/>
        <v>345.24936448719745</v>
      </c>
      <c r="AN9" s="231">
        <f t="shared" si="19"/>
        <v>367.00007444989086</v>
      </c>
      <c r="AO9" s="225">
        <f>AN9/D9</f>
        <v>18.350003722494542</v>
      </c>
      <c r="AP9" s="231">
        <f>AO9/0.65</f>
        <v>28.230774957683909</v>
      </c>
      <c r="AQ9" s="1"/>
      <c r="AR9" s="452"/>
      <c r="AS9" s="453"/>
      <c r="AT9" s="7" t="s">
        <v>33</v>
      </c>
      <c r="AU9" s="7" t="s">
        <v>34</v>
      </c>
      <c r="AV9" s="7" t="s">
        <v>35</v>
      </c>
      <c r="AW9" s="8" t="s">
        <v>36</v>
      </c>
      <c r="AX9" s="9" t="s">
        <v>37</v>
      </c>
      <c r="AY9" s="2"/>
      <c r="AZ9" s="2"/>
    </row>
    <row r="10" spans="1:52" x14ac:dyDescent="0.2">
      <c r="A10" s="125"/>
      <c r="B10" s="201" t="s">
        <v>62</v>
      </c>
      <c r="C10" s="333">
        <v>300</v>
      </c>
      <c r="D10" s="323">
        <v>20</v>
      </c>
      <c r="E10" s="333" t="str">
        <f t="shared" si="14"/>
        <v>6 kg</v>
      </c>
      <c r="F10" s="323">
        <v>2</v>
      </c>
      <c r="G10" s="232"/>
      <c r="H10" s="349">
        <f t="shared" si="0"/>
        <v>0</v>
      </c>
      <c r="I10" s="225">
        <f t="shared" si="15"/>
        <v>59.138209718670076</v>
      </c>
      <c r="J10" s="219" t="s">
        <v>25</v>
      </c>
      <c r="K10" s="221">
        <f t="shared" si="1"/>
        <v>2</v>
      </c>
      <c r="L10" s="219" t="s">
        <v>25</v>
      </c>
      <c r="M10" s="220">
        <f t="shared" si="2"/>
        <v>23.2</v>
      </c>
      <c r="N10" s="222"/>
      <c r="O10" s="165">
        <f t="shared" si="3"/>
        <v>0</v>
      </c>
      <c r="P10" s="219" t="s">
        <v>25</v>
      </c>
      <c r="Q10" s="220">
        <f t="shared" si="4"/>
        <v>4</v>
      </c>
      <c r="R10" s="223">
        <f t="shared" si="5"/>
        <v>88.338209718670072</v>
      </c>
      <c r="S10" s="224">
        <v>0.3</v>
      </c>
      <c r="T10" s="231">
        <f t="shared" si="16"/>
        <v>126.19744245524296</v>
      </c>
      <c r="U10" s="226">
        <v>0.02</v>
      </c>
      <c r="V10" s="220">
        <f t="shared" si="6"/>
        <v>6.4000038640635601</v>
      </c>
      <c r="W10" s="229">
        <v>0.1</v>
      </c>
      <c r="X10" s="221">
        <f t="shared" si="7"/>
        <v>32.000019320317804</v>
      </c>
      <c r="Y10" s="226">
        <v>0.12</v>
      </c>
      <c r="Z10" s="220">
        <f t="shared" si="8"/>
        <v>38.400023184381361</v>
      </c>
      <c r="AA10" s="309">
        <v>4.4999999999999998E-2</v>
      </c>
      <c r="AB10" s="228">
        <f t="shared" si="9"/>
        <v>14.400008694143009</v>
      </c>
      <c r="AC10" s="227">
        <v>6.3E-2</v>
      </c>
      <c r="AD10" s="220">
        <f t="shared" si="17"/>
        <v>20.160012171800215</v>
      </c>
      <c r="AE10" s="229">
        <v>0.02</v>
      </c>
      <c r="AF10" s="221">
        <f t="shared" si="10"/>
        <v>6.4000038640635601</v>
      </c>
      <c r="AG10" s="226">
        <v>0.04</v>
      </c>
      <c r="AH10" s="220">
        <f t="shared" si="11"/>
        <v>12.80000772812712</v>
      </c>
      <c r="AI10" s="229">
        <v>0.05</v>
      </c>
      <c r="AJ10" s="221">
        <f t="shared" si="12"/>
        <v>16.000009660158902</v>
      </c>
      <c r="AK10" s="230">
        <v>0.14763323043021948</v>
      </c>
      <c r="AL10" s="220">
        <f t="shared" si="13"/>
        <v>47.242662260879534</v>
      </c>
      <c r="AM10" s="223">
        <f t="shared" si="18"/>
        <v>301.03498890233118</v>
      </c>
      <c r="AN10" s="231">
        <f t="shared" si="19"/>
        <v>320.00019320317801</v>
      </c>
      <c r="AO10" s="225">
        <f>AN10/D10</f>
        <v>16.000009660158902</v>
      </c>
      <c r="AP10" s="231">
        <f t="shared" ref="AP10:AP11" si="20">AO10/0.65</f>
        <v>24.615399477167539</v>
      </c>
      <c r="AQ10" s="1"/>
      <c r="AR10" s="406" t="s">
        <v>38</v>
      </c>
      <c r="AS10" s="407"/>
      <c r="AT10" s="11">
        <f>AX7/1.7</f>
        <v>117.64705882352942</v>
      </c>
      <c r="AU10" s="12">
        <f>AT10*5</f>
        <v>588.23529411764707</v>
      </c>
      <c r="AV10" s="13">
        <f>AT10*20</f>
        <v>2352.9411764705883</v>
      </c>
      <c r="AW10" s="14">
        <v>9.6</v>
      </c>
      <c r="AX10" s="15">
        <f>AV10*AW10</f>
        <v>22588.235294117647</v>
      </c>
      <c r="AY10" s="2"/>
      <c r="AZ10" s="2"/>
    </row>
    <row r="11" spans="1:52" x14ac:dyDescent="0.2">
      <c r="A11" s="125"/>
      <c r="B11" s="201" t="s">
        <v>63</v>
      </c>
      <c r="C11" s="333">
        <v>300</v>
      </c>
      <c r="D11" s="323">
        <v>20</v>
      </c>
      <c r="E11" s="333" t="str">
        <f t="shared" si="14"/>
        <v>6 kg</v>
      </c>
      <c r="F11" s="323">
        <v>2</v>
      </c>
      <c r="G11" s="232"/>
      <c r="H11" s="349">
        <f t="shared" si="0"/>
        <v>0</v>
      </c>
      <c r="I11" s="225">
        <f t="shared" si="15"/>
        <v>59.138209718670076</v>
      </c>
      <c r="J11" s="219" t="s">
        <v>25</v>
      </c>
      <c r="K11" s="221">
        <f t="shared" si="1"/>
        <v>2</v>
      </c>
      <c r="L11" s="219" t="s">
        <v>25</v>
      </c>
      <c r="M11" s="220">
        <f t="shared" si="2"/>
        <v>23.2</v>
      </c>
      <c r="N11" s="222"/>
      <c r="O11" s="165">
        <f t="shared" si="3"/>
        <v>0</v>
      </c>
      <c r="P11" s="219" t="s">
        <v>25</v>
      </c>
      <c r="Q11" s="220">
        <f t="shared" si="4"/>
        <v>4</v>
      </c>
      <c r="R11" s="223">
        <f t="shared" si="5"/>
        <v>88.338209718670072</v>
      </c>
      <c r="S11" s="224">
        <v>0.3</v>
      </c>
      <c r="T11" s="231">
        <f t="shared" si="16"/>
        <v>126.19744245524296</v>
      </c>
      <c r="U11" s="226">
        <v>0.02</v>
      </c>
      <c r="V11" s="220">
        <f t="shared" si="6"/>
        <v>6.4000038640635601</v>
      </c>
      <c r="W11" s="229">
        <v>0.1</v>
      </c>
      <c r="X11" s="221">
        <f t="shared" si="7"/>
        <v>32.000019320317804</v>
      </c>
      <c r="Y11" s="226">
        <v>0.12</v>
      </c>
      <c r="Z11" s="220">
        <f t="shared" si="8"/>
        <v>38.400023184381361</v>
      </c>
      <c r="AA11" s="309">
        <v>4.4999999999999998E-2</v>
      </c>
      <c r="AB11" s="228">
        <f t="shared" si="9"/>
        <v>14.400008694143009</v>
      </c>
      <c r="AC11" s="227">
        <v>6.3E-2</v>
      </c>
      <c r="AD11" s="220">
        <f t="shared" si="17"/>
        <v>20.160012171800215</v>
      </c>
      <c r="AE11" s="229">
        <v>0.02</v>
      </c>
      <c r="AF11" s="221">
        <f t="shared" si="10"/>
        <v>6.4000038640635601</v>
      </c>
      <c r="AG11" s="226">
        <v>0.04</v>
      </c>
      <c r="AH11" s="220">
        <f t="shared" si="11"/>
        <v>12.80000772812712</v>
      </c>
      <c r="AI11" s="229">
        <v>0.05</v>
      </c>
      <c r="AJ11" s="221">
        <f t="shared" si="12"/>
        <v>16.000009660158902</v>
      </c>
      <c r="AK11" s="230">
        <v>0.14763323043021948</v>
      </c>
      <c r="AL11" s="220">
        <f t="shared" si="13"/>
        <v>47.242662260879534</v>
      </c>
      <c r="AM11" s="223">
        <f t="shared" si="18"/>
        <v>301.03498890233118</v>
      </c>
      <c r="AN11" s="231">
        <f t="shared" si="19"/>
        <v>320.00019320317801</v>
      </c>
      <c r="AO11" s="225">
        <f>AN11/D11</f>
        <v>16.000009660158902</v>
      </c>
      <c r="AP11" s="231">
        <f t="shared" si="20"/>
        <v>24.615399477167539</v>
      </c>
      <c r="AQ11" s="1"/>
      <c r="AR11" s="406" t="s">
        <v>39</v>
      </c>
      <c r="AS11" s="407"/>
      <c r="AT11" s="6">
        <f>AX7*0.3</f>
        <v>60</v>
      </c>
      <c r="AU11" s="12">
        <f>AT11*5</f>
        <v>300</v>
      </c>
      <c r="AV11" s="13">
        <f>AT11*20</f>
        <v>1200</v>
      </c>
      <c r="AW11" s="14">
        <v>8.6999999999999993</v>
      </c>
      <c r="AX11" s="15">
        <f>AV11*AW11</f>
        <v>10440</v>
      </c>
      <c r="AY11" s="2"/>
      <c r="AZ11" s="2"/>
    </row>
    <row r="12" spans="1:52" x14ac:dyDescent="0.2">
      <c r="A12" s="125"/>
      <c r="B12" s="127" t="s">
        <v>122</v>
      </c>
      <c r="C12" s="334">
        <v>300</v>
      </c>
      <c r="D12" s="324">
        <v>1</v>
      </c>
      <c r="E12" s="334" t="str">
        <f t="shared" si="14"/>
        <v>0,3 kg</v>
      </c>
      <c r="F12" s="324">
        <v>6</v>
      </c>
      <c r="G12" s="115">
        <v>1</v>
      </c>
      <c r="H12" s="350">
        <f t="shared" si="0"/>
        <v>1.5999999999999999</v>
      </c>
      <c r="I12" s="118">
        <f t="shared" si="15"/>
        <v>0.4922144494037643</v>
      </c>
      <c r="J12" s="117" t="s">
        <v>25</v>
      </c>
      <c r="K12" s="121">
        <f t="shared" si="1"/>
        <v>0.09</v>
      </c>
      <c r="L12" s="117" t="s">
        <v>25</v>
      </c>
      <c r="M12" s="120">
        <f t="shared" si="2"/>
        <v>1.1499999999999999</v>
      </c>
      <c r="N12" s="136"/>
      <c r="O12" s="165">
        <f t="shared" si="3"/>
        <v>0</v>
      </c>
      <c r="P12" s="117"/>
      <c r="Q12" s="120">
        <f t="shared" si="4"/>
        <v>0</v>
      </c>
      <c r="R12" s="133">
        <f t="shared" si="5"/>
        <v>3.332214449403764</v>
      </c>
      <c r="S12" s="143">
        <v>0.3</v>
      </c>
      <c r="T12" s="116">
        <f t="shared" si="16"/>
        <v>4.7603063562910917</v>
      </c>
      <c r="U12" s="119">
        <v>0.02</v>
      </c>
      <c r="V12" s="120">
        <f t="shared" si="6"/>
        <v>0.27999270935079806</v>
      </c>
      <c r="W12" s="122">
        <v>0.1</v>
      </c>
      <c r="X12" s="121">
        <f t="shared" si="7"/>
        <v>1.3999635467539902</v>
      </c>
      <c r="Y12" s="119">
        <v>0.08</v>
      </c>
      <c r="Z12" s="120">
        <f t="shared" si="8"/>
        <v>1.1199708374031923</v>
      </c>
      <c r="AA12" s="310">
        <v>4.4999999999999998E-2</v>
      </c>
      <c r="AB12" s="130">
        <f t="shared" si="9"/>
        <v>0.62998359603929555</v>
      </c>
      <c r="AC12" s="150">
        <v>6.3E-2</v>
      </c>
      <c r="AD12" s="120">
        <f t="shared" si="17"/>
        <v>0.88197703445501385</v>
      </c>
      <c r="AE12" s="122"/>
      <c r="AF12" s="121">
        <f t="shared" si="10"/>
        <v>0</v>
      </c>
      <c r="AG12" s="119"/>
      <c r="AH12" s="120">
        <f t="shared" si="11"/>
        <v>0</v>
      </c>
      <c r="AI12" s="122"/>
      <c r="AJ12" s="121">
        <f t="shared" si="12"/>
        <v>0</v>
      </c>
      <c r="AK12" s="123">
        <v>0.35196926367629194</v>
      </c>
      <c r="AL12" s="120">
        <f t="shared" si="13"/>
        <v>4.9274413872465201</v>
      </c>
      <c r="AM12" s="133">
        <f t="shared" si="18"/>
        <v>13.16992988479765</v>
      </c>
      <c r="AN12" s="116">
        <f t="shared" si="19"/>
        <v>13.999635467539902</v>
      </c>
      <c r="AO12" s="118"/>
      <c r="AP12" s="116"/>
      <c r="AQ12" s="1"/>
      <c r="AR12" s="406" t="s">
        <v>40</v>
      </c>
      <c r="AS12" s="407"/>
      <c r="AT12" s="6">
        <f>AX7*0.014</f>
        <v>2.8000000000000003</v>
      </c>
      <c r="AU12" s="12">
        <f>AT12*5</f>
        <v>14.000000000000002</v>
      </c>
      <c r="AV12" s="13">
        <f>AT12*20</f>
        <v>56.000000000000007</v>
      </c>
      <c r="AW12" s="14">
        <v>2.2000000000000002</v>
      </c>
      <c r="AX12" s="15">
        <f>AV12*AW12</f>
        <v>123.20000000000003</v>
      </c>
      <c r="AY12" s="2"/>
      <c r="AZ12" s="2"/>
    </row>
    <row r="13" spans="1:52" x14ac:dyDescent="0.2">
      <c r="A13" s="125"/>
      <c r="B13" s="127" t="s">
        <v>123</v>
      </c>
      <c r="C13" s="334">
        <v>300</v>
      </c>
      <c r="D13" s="324">
        <v>1</v>
      </c>
      <c r="E13" s="334" t="str">
        <f t="shared" si="14"/>
        <v>0,3 kg</v>
      </c>
      <c r="F13" s="324">
        <v>6</v>
      </c>
      <c r="G13" s="115">
        <v>2</v>
      </c>
      <c r="H13" s="350">
        <f t="shared" si="0"/>
        <v>3.4000000000000004</v>
      </c>
      <c r="I13" s="118">
        <f t="shared" si="15"/>
        <v>0.4922144494037643</v>
      </c>
      <c r="J13" s="117" t="s">
        <v>25</v>
      </c>
      <c r="K13" s="121">
        <f t="shared" si="1"/>
        <v>0.09</v>
      </c>
      <c r="L13" s="117" t="s">
        <v>25</v>
      </c>
      <c r="M13" s="120">
        <f t="shared" si="2"/>
        <v>1.1499999999999999</v>
      </c>
      <c r="N13" s="136"/>
      <c r="O13" s="165">
        <f t="shared" si="3"/>
        <v>0</v>
      </c>
      <c r="P13" s="117"/>
      <c r="Q13" s="120">
        <f t="shared" si="4"/>
        <v>0</v>
      </c>
      <c r="R13" s="133">
        <f t="shared" si="5"/>
        <v>5.1322144494037643</v>
      </c>
      <c r="S13" s="143">
        <v>0.3</v>
      </c>
      <c r="T13" s="116">
        <f t="shared" si="16"/>
        <v>7.3317349277196637</v>
      </c>
      <c r="U13" s="119">
        <v>0.02</v>
      </c>
      <c r="V13" s="120">
        <f t="shared" si="6"/>
        <v>0.4000003424580767</v>
      </c>
      <c r="W13" s="122">
        <v>0.1</v>
      </c>
      <c r="X13" s="121">
        <f t="shared" si="7"/>
        <v>2.0000017122903837</v>
      </c>
      <c r="Y13" s="119">
        <v>0.08</v>
      </c>
      <c r="Z13" s="120">
        <f t="shared" si="8"/>
        <v>1.6000013698323068</v>
      </c>
      <c r="AA13" s="310">
        <v>4.4999999999999998E-2</v>
      </c>
      <c r="AB13" s="130">
        <f t="shared" si="9"/>
        <v>0.90000077053067251</v>
      </c>
      <c r="AC13" s="150">
        <v>6.3E-2</v>
      </c>
      <c r="AD13" s="120">
        <f t="shared" si="17"/>
        <v>1.2600010787429416</v>
      </c>
      <c r="AE13" s="122"/>
      <c r="AF13" s="121">
        <f t="shared" si="10"/>
        <v>0</v>
      </c>
      <c r="AG13" s="119"/>
      <c r="AH13" s="120">
        <f t="shared" si="11"/>
        <v>0</v>
      </c>
      <c r="AI13" s="122"/>
      <c r="AJ13" s="121">
        <f t="shared" si="12"/>
        <v>0</v>
      </c>
      <c r="AK13" s="123">
        <v>0.32541356746522843</v>
      </c>
      <c r="AL13" s="120">
        <f t="shared" si="13"/>
        <v>6.5082769213297906</v>
      </c>
      <c r="AM13" s="133">
        <f t="shared" si="18"/>
        <v>18.81469155494246</v>
      </c>
      <c r="AN13" s="116">
        <f t="shared" si="19"/>
        <v>20.000017122903834</v>
      </c>
      <c r="AO13" s="118"/>
      <c r="AP13" s="116"/>
      <c r="AQ13" s="1"/>
      <c r="AR13" s="406" t="s">
        <v>42</v>
      </c>
      <c r="AS13" s="407"/>
      <c r="AT13" s="6">
        <f>(AX7*0.004)/2</f>
        <v>0.4</v>
      </c>
      <c r="AU13" s="12">
        <f>AT13*5</f>
        <v>2</v>
      </c>
      <c r="AV13" s="13">
        <f>AT13*20</f>
        <v>8</v>
      </c>
      <c r="AW13" s="14">
        <v>140</v>
      </c>
      <c r="AX13" s="15">
        <f>AV13*AW13</f>
        <v>1120</v>
      </c>
      <c r="AY13" s="2"/>
      <c r="AZ13" s="2"/>
    </row>
    <row r="14" spans="1:52" x14ac:dyDescent="0.2">
      <c r="A14" s="125"/>
      <c r="B14" s="127" t="s">
        <v>124</v>
      </c>
      <c r="C14" s="334">
        <v>300</v>
      </c>
      <c r="D14" s="324">
        <v>1</v>
      </c>
      <c r="E14" s="334" t="str">
        <f t="shared" si="14"/>
        <v>0,3 kg</v>
      </c>
      <c r="F14" s="324">
        <v>6</v>
      </c>
      <c r="G14" s="115">
        <v>3</v>
      </c>
      <c r="H14" s="350">
        <f t="shared" si="0"/>
        <v>4</v>
      </c>
      <c r="I14" s="118">
        <f t="shared" si="15"/>
        <v>0.4922144494037643</v>
      </c>
      <c r="J14" s="117" t="s">
        <v>25</v>
      </c>
      <c r="K14" s="121">
        <f t="shared" si="1"/>
        <v>0.09</v>
      </c>
      <c r="L14" s="117" t="s">
        <v>25</v>
      </c>
      <c r="M14" s="120">
        <f t="shared" si="2"/>
        <v>1.1499999999999999</v>
      </c>
      <c r="N14" s="136"/>
      <c r="O14" s="165">
        <f t="shared" si="3"/>
        <v>0</v>
      </c>
      <c r="P14" s="117"/>
      <c r="Q14" s="120">
        <f t="shared" si="4"/>
        <v>0</v>
      </c>
      <c r="R14" s="133">
        <f t="shared" si="5"/>
        <v>5.7322144494037648</v>
      </c>
      <c r="S14" s="143">
        <v>0.3</v>
      </c>
      <c r="T14" s="116">
        <f t="shared" si="16"/>
        <v>8.1888777848625214</v>
      </c>
      <c r="U14" s="119">
        <v>0.02</v>
      </c>
      <c r="V14" s="120">
        <f t="shared" si="6"/>
        <v>0.47999111988404169</v>
      </c>
      <c r="W14" s="122">
        <v>0.1</v>
      </c>
      <c r="X14" s="121">
        <f t="shared" si="7"/>
        <v>2.3999555994202084</v>
      </c>
      <c r="Y14" s="119">
        <v>0.08</v>
      </c>
      <c r="Z14" s="120">
        <f t="shared" si="8"/>
        <v>1.9199644795361668</v>
      </c>
      <c r="AA14" s="310">
        <v>4.4999999999999998E-2</v>
      </c>
      <c r="AB14" s="130">
        <f t="shared" si="9"/>
        <v>1.0799800197390936</v>
      </c>
      <c r="AC14" s="150">
        <v>6.3E-2</v>
      </c>
      <c r="AD14" s="120">
        <f t="shared" si="17"/>
        <v>1.5119720276347313</v>
      </c>
      <c r="AE14" s="122"/>
      <c r="AF14" s="121">
        <f t="shared" si="10"/>
        <v>0</v>
      </c>
      <c r="AG14" s="119"/>
      <c r="AH14" s="120">
        <f t="shared" si="11"/>
        <v>0</v>
      </c>
      <c r="AI14" s="122"/>
      <c r="AJ14" s="121">
        <f t="shared" si="12"/>
        <v>0</v>
      </c>
      <c r="AK14" s="123">
        <v>0.35079044650489255</v>
      </c>
      <c r="AL14" s="120">
        <f t="shared" si="13"/>
        <v>8.4188149631253193</v>
      </c>
      <c r="AM14" s="133">
        <f t="shared" si="18"/>
        <v>22.577192844969034</v>
      </c>
      <c r="AN14" s="116">
        <f t="shared" si="19"/>
        <v>23.999555994202083</v>
      </c>
      <c r="AO14" s="118"/>
      <c r="AP14" s="116"/>
      <c r="AQ14" s="1"/>
      <c r="AR14" s="421" t="s">
        <v>43</v>
      </c>
      <c r="AS14" s="422"/>
      <c r="AT14" s="20">
        <f>AX14/AX7/30</f>
        <v>0.67169324618736326</v>
      </c>
      <c r="AU14" s="21">
        <f>AT14*5</f>
        <v>3.3584662309368163</v>
      </c>
      <c r="AV14" s="22">
        <f>AT14*20</f>
        <v>13.433864923747265</v>
      </c>
      <c r="AW14" s="23">
        <f>AX14/AX7*AV14</f>
        <v>270.70309018423069</v>
      </c>
      <c r="AX14" s="24">
        <f>((AX10+AX11+AX12+AX13+AX15)/0.9)-(AX10+AX11+AX12+AX13+AX15)</f>
        <v>4030.1594771241798</v>
      </c>
      <c r="AY14" s="2"/>
      <c r="AZ14" s="2"/>
    </row>
    <row r="15" spans="1:52" ht="17" thickBot="1" x14ac:dyDescent="0.25">
      <c r="A15" s="125"/>
      <c r="B15" s="127" t="s">
        <v>144</v>
      </c>
      <c r="C15" s="334">
        <v>300</v>
      </c>
      <c r="D15" s="324">
        <v>1</v>
      </c>
      <c r="E15" s="334" t="str">
        <f t="shared" si="14"/>
        <v>0,3 kg</v>
      </c>
      <c r="F15" s="324">
        <v>6</v>
      </c>
      <c r="G15" s="115">
        <v>4</v>
      </c>
      <c r="H15" s="350">
        <f t="shared" si="0"/>
        <v>3.4000000000000004</v>
      </c>
      <c r="I15" s="118">
        <f t="shared" si="15"/>
        <v>0.4922144494037643</v>
      </c>
      <c r="J15" s="117" t="s">
        <v>25</v>
      </c>
      <c r="K15" s="121">
        <f t="shared" si="1"/>
        <v>0.09</v>
      </c>
      <c r="L15" s="117" t="s">
        <v>25</v>
      </c>
      <c r="M15" s="120">
        <f t="shared" si="2"/>
        <v>1.1499999999999999</v>
      </c>
      <c r="N15" s="136"/>
      <c r="O15" s="165">
        <f t="shared" si="3"/>
        <v>0</v>
      </c>
      <c r="P15" s="117"/>
      <c r="Q15" s="120">
        <f t="shared" si="4"/>
        <v>0</v>
      </c>
      <c r="R15" s="133">
        <f t="shared" si="5"/>
        <v>5.1322144494037643</v>
      </c>
      <c r="S15" s="143">
        <v>0.3</v>
      </c>
      <c r="T15" s="116">
        <f t="shared" si="16"/>
        <v>7.3317349277196637</v>
      </c>
      <c r="U15" s="119">
        <v>0.02</v>
      </c>
      <c r="V15" s="120">
        <f t="shared" si="6"/>
        <v>0.4000003424580767</v>
      </c>
      <c r="W15" s="122">
        <v>0.1</v>
      </c>
      <c r="X15" s="121">
        <f t="shared" si="7"/>
        <v>2.0000017122903837</v>
      </c>
      <c r="Y15" s="119">
        <v>0.08</v>
      </c>
      <c r="Z15" s="120">
        <f t="shared" si="8"/>
        <v>1.6000013698323068</v>
      </c>
      <c r="AA15" s="310">
        <v>4.4999999999999998E-2</v>
      </c>
      <c r="AB15" s="130">
        <f t="shared" si="9"/>
        <v>0.90000077053067251</v>
      </c>
      <c r="AC15" s="150">
        <v>6.3E-2</v>
      </c>
      <c r="AD15" s="120">
        <f t="shared" si="17"/>
        <v>1.2600010787429416</v>
      </c>
      <c r="AE15" s="122"/>
      <c r="AF15" s="121">
        <f t="shared" si="10"/>
        <v>0</v>
      </c>
      <c r="AG15" s="119"/>
      <c r="AH15" s="120">
        <f t="shared" si="11"/>
        <v>0</v>
      </c>
      <c r="AI15" s="122"/>
      <c r="AJ15" s="121">
        <f t="shared" si="12"/>
        <v>0</v>
      </c>
      <c r="AK15" s="123">
        <v>0.32541356746522843</v>
      </c>
      <c r="AL15" s="120">
        <f t="shared" si="13"/>
        <v>6.5082769213297906</v>
      </c>
      <c r="AM15" s="133">
        <f t="shared" si="18"/>
        <v>18.81469155494246</v>
      </c>
      <c r="AN15" s="116">
        <f t="shared" si="19"/>
        <v>20.000017122903834</v>
      </c>
      <c r="AO15" s="118"/>
      <c r="AP15" s="116"/>
      <c r="AQ15" s="1"/>
      <c r="AR15" s="454" t="s">
        <v>44</v>
      </c>
      <c r="AS15" s="455"/>
      <c r="AT15" s="25"/>
      <c r="AU15" s="25"/>
      <c r="AV15" s="26"/>
      <c r="AW15" s="27"/>
      <c r="AX15" s="28">
        <f>(AX7*20)*0.5</f>
        <v>2000</v>
      </c>
      <c r="AY15" s="2"/>
      <c r="AZ15" s="2"/>
    </row>
    <row r="16" spans="1:52" ht="17" thickBot="1" x14ac:dyDescent="0.25">
      <c r="A16" s="125"/>
      <c r="B16" s="127" t="s">
        <v>125</v>
      </c>
      <c r="C16" s="334">
        <v>300</v>
      </c>
      <c r="D16" s="324">
        <v>20</v>
      </c>
      <c r="E16" s="334" t="str">
        <f t="shared" si="14"/>
        <v>6 kg</v>
      </c>
      <c r="F16" s="324">
        <v>6</v>
      </c>
      <c r="G16" s="115">
        <v>1</v>
      </c>
      <c r="H16" s="350">
        <f t="shared" si="0"/>
        <v>31.999999999999996</v>
      </c>
      <c r="I16" s="118">
        <f t="shared" si="15"/>
        <v>9.8442889880752862</v>
      </c>
      <c r="J16" s="117" t="s">
        <v>25</v>
      </c>
      <c r="K16" s="121">
        <f t="shared" si="1"/>
        <v>1.7999999999999998</v>
      </c>
      <c r="L16" s="117" t="s">
        <v>25</v>
      </c>
      <c r="M16" s="120">
        <f t="shared" si="2"/>
        <v>23</v>
      </c>
      <c r="N16" s="136" t="s">
        <v>25</v>
      </c>
      <c r="O16" s="165">
        <f t="shared" si="3"/>
        <v>0</v>
      </c>
      <c r="P16" s="117" t="s">
        <v>25</v>
      </c>
      <c r="Q16" s="120">
        <f t="shared" si="4"/>
        <v>3</v>
      </c>
      <c r="R16" s="133">
        <f t="shared" si="5"/>
        <v>69.644288988075289</v>
      </c>
      <c r="S16" s="143">
        <v>0.3</v>
      </c>
      <c r="T16" s="116">
        <f t="shared" si="16"/>
        <v>99.491841411536129</v>
      </c>
      <c r="U16" s="119">
        <v>0.02</v>
      </c>
      <c r="V16" s="120">
        <f t="shared" si="6"/>
        <v>4.3999996122177807</v>
      </c>
      <c r="W16" s="122">
        <v>0.1</v>
      </c>
      <c r="X16" s="121">
        <f t="shared" si="7"/>
        <v>21.999998061088903</v>
      </c>
      <c r="Y16" s="119">
        <v>0.12</v>
      </c>
      <c r="Z16" s="120">
        <f t="shared" si="8"/>
        <v>26.399997673306682</v>
      </c>
      <c r="AA16" s="310">
        <v>4.4999999999999998E-2</v>
      </c>
      <c r="AB16" s="130">
        <f t="shared" si="9"/>
        <v>9.8999991274900054</v>
      </c>
      <c r="AC16" s="150">
        <v>6.3E-2</v>
      </c>
      <c r="AD16" s="120">
        <f t="shared" si="17"/>
        <v>13.859998778486009</v>
      </c>
      <c r="AE16" s="122">
        <v>0.02</v>
      </c>
      <c r="AF16" s="121">
        <f t="shared" si="10"/>
        <v>4.3999996122177807</v>
      </c>
      <c r="AG16" s="119">
        <v>0.04</v>
      </c>
      <c r="AH16" s="120">
        <f t="shared" si="11"/>
        <v>8.7999992244355614</v>
      </c>
      <c r="AI16" s="122">
        <v>0.05</v>
      </c>
      <c r="AJ16" s="121">
        <f t="shared" si="12"/>
        <v>10.999999030544451</v>
      </c>
      <c r="AK16" s="123">
        <v>8.9764317363709309E-2</v>
      </c>
      <c r="AL16" s="120">
        <f t="shared" si="13"/>
        <v>19.748148079565738</v>
      </c>
      <c r="AM16" s="133">
        <f t="shared" si="18"/>
        <v>206.96141167534248</v>
      </c>
      <c r="AN16" s="116">
        <f t="shared" si="19"/>
        <v>219.99998061088903</v>
      </c>
      <c r="AO16" s="118">
        <f>AN16/D16</f>
        <v>10.999999030544451</v>
      </c>
      <c r="AP16" s="116">
        <f>AO16/0.65</f>
        <v>16.923075431606847</v>
      </c>
      <c r="AQ16" s="35"/>
      <c r="AR16" s="449" t="s">
        <v>45</v>
      </c>
      <c r="AS16" s="450"/>
      <c r="AT16" s="29">
        <v>0.09</v>
      </c>
      <c r="AU16" s="30"/>
      <c r="AV16" s="31"/>
      <c r="AW16" s="19"/>
      <c r="AX16" s="32">
        <f>SUM(AX10:AX15)</f>
        <v>40301.594771241827</v>
      </c>
      <c r="AY16" s="2"/>
      <c r="AZ16" s="2"/>
    </row>
    <row r="17" spans="1:52" x14ac:dyDescent="0.2">
      <c r="A17" s="125"/>
      <c r="B17" s="127" t="s">
        <v>126</v>
      </c>
      <c r="C17" s="334">
        <v>300</v>
      </c>
      <c r="D17" s="324">
        <v>20</v>
      </c>
      <c r="E17" s="334" t="str">
        <f t="shared" si="14"/>
        <v>6 kg</v>
      </c>
      <c r="F17" s="324">
        <v>6</v>
      </c>
      <c r="G17" s="115">
        <v>2</v>
      </c>
      <c r="H17" s="350">
        <f t="shared" si="0"/>
        <v>68</v>
      </c>
      <c r="I17" s="118">
        <f t="shared" si="15"/>
        <v>9.8442889880752862</v>
      </c>
      <c r="J17" s="117" t="s">
        <v>25</v>
      </c>
      <c r="K17" s="121">
        <f t="shared" si="1"/>
        <v>1.7999999999999998</v>
      </c>
      <c r="L17" s="117" t="s">
        <v>25</v>
      </c>
      <c r="M17" s="120">
        <f t="shared" si="2"/>
        <v>23</v>
      </c>
      <c r="N17" s="136" t="s">
        <v>25</v>
      </c>
      <c r="O17" s="165">
        <f t="shared" si="3"/>
        <v>0</v>
      </c>
      <c r="P17" s="117" t="s">
        <v>25</v>
      </c>
      <c r="Q17" s="120">
        <f t="shared" si="4"/>
        <v>3</v>
      </c>
      <c r="R17" s="133">
        <f t="shared" si="5"/>
        <v>105.64428898807529</v>
      </c>
      <c r="S17" s="143">
        <v>0.3</v>
      </c>
      <c r="T17" s="116">
        <f t="shared" si="16"/>
        <v>150.92041284010756</v>
      </c>
      <c r="U17" s="119">
        <v>0.02</v>
      </c>
      <c r="V17" s="120">
        <f t="shared" si="6"/>
        <v>6.9999995333109881</v>
      </c>
      <c r="W17" s="122">
        <v>0.1</v>
      </c>
      <c r="X17" s="121">
        <f t="shared" si="7"/>
        <v>34.99999766655494</v>
      </c>
      <c r="Y17" s="119">
        <v>0.12</v>
      </c>
      <c r="Z17" s="120">
        <f t="shared" si="8"/>
        <v>41.99999719986593</v>
      </c>
      <c r="AA17" s="310">
        <v>4.4999999999999998E-2</v>
      </c>
      <c r="AB17" s="130">
        <f t="shared" si="9"/>
        <v>15.749998949949722</v>
      </c>
      <c r="AC17" s="150">
        <v>6.3E-2</v>
      </c>
      <c r="AD17" s="120">
        <f t="shared" si="17"/>
        <v>22.049998529929614</v>
      </c>
      <c r="AE17" s="122">
        <v>0.02</v>
      </c>
      <c r="AF17" s="121">
        <f t="shared" si="10"/>
        <v>6.9999995333109881</v>
      </c>
      <c r="AG17" s="119">
        <v>0.04</v>
      </c>
      <c r="AH17" s="120">
        <f t="shared" si="11"/>
        <v>13.999999066621976</v>
      </c>
      <c r="AI17" s="122">
        <v>0.05</v>
      </c>
      <c r="AJ17" s="121">
        <f t="shared" si="12"/>
        <v>17.49999883327747</v>
      </c>
      <c r="AK17" s="123">
        <v>0.11079879170871185</v>
      </c>
      <c r="AL17" s="120">
        <f t="shared" si="13"/>
        <v>38.779574512620215</v>
      </c>
      <c r="AM17" s="133">
        <f t="shared" si="18"/>
        <v>329.25679836834377</v>
      </c>
      <c r="AN17" s="116">
        <f t="shared" si="19"/>
        <v>349.99997666554941</v>
      </c>
      <c r="AO17" s="118">
        <f>AN17/D17</f>
        <v>17.49999883327747</v>
      </c>
      <c r="AP17" s="116">
        <f t="shared" ref="AP17:AP18" si="21">AO17/0.65</f>
        <v>26.923075128119184</v>
      </c>
      <c r="AQ17" s="35"/>
      <c r="AR17" s="421" t="s">
        <v>46</v>
      </c>
      <c r="AS17" s="422"/>
      <c r="AT17" s="15">
        <v>1.1499999999999999</v>
      </c>
      <c r="AU17" s="30"/>
      <c r="AV17" s="31"/>
      <c r="AW17" s="19"/>
      <c r="AX17" s="31"/>
      <c r="AY17" s="2"/>
      <c r="AZ17" s="2"/>
    </row>
    <row r="18" spans="1:52" ht="17" thickBot="1" x14ac:dyDescent="0.25">
      <c r="A18" s="125"/>
      <c r="B18" s="127" t="s">
        <v>127</v>
      </c>
      <c r="C18" s="334">
        <v>300</v>
      </c>
      <c r="D18" s="324">
        <v>20</v>
      </c>
      <c r="E18" s="334" t="str">
        <f t="shared" si="14"/>
        <v>6 kg</v>
      </c>
      <c r="F18" s="345">
        <v>6</v>
      </c>
      <c r="G18" s="124">
        <v>3</v>
      </c>
      <c r="H18" s="350">
        <f t="shared" si="0"/>
        <v>80</v>
      </c>
      <c r="I18" s="118">
        <f t="shared" si="15"/>
        <v>9.8442889880752862</v>
      </c>
      <c r="J18" s="117" t="s">
        <v>25</v>
      </c>
      <c r="K18" s="121">
        <f t="shared" si="1"/>
        <v>1.7999999999999998</v>
      </c>
      <c r="L18" s="117" t="s">
        <v>25</v>
      </c>
      <c r="M18" s="120">
        <f t="shared" si="2"/>
        <v>23</v>
      </c>
      <c r="N18" s="136" t="s">
        <v>25</v>
      </c>
      <c r="O18" s="165">
        <f t="shared" si="3"/>
        <v>0</v>
      </c>
      <c r="P18" s="117" t="s">
        <v>25</v>
      </c>
      <c r="Q18" s="120">
        <f t="shared" si="4"/>
        <v>3</v>
      </c>
      <c r="R18" s="133">
        <f t="shared" si="5"/>
        <v>117.64428898807529</v>
      </c>
      <c r="S18" s="143">
        <v>0.3</v>
      </c>
      <c r="T18" s="116">
        <f t="shared" si="16"/>
        <v>168.0632699829647</v>
      </c>
      <c r="U18" s="119">
        <v>0.02</v>
      </c>
      <c r="V18" s="120">
        <f t="shared" si="6"/>
        <v>7.5999995353127598</v>
      </c>
      <c r="W18" s="122">
        <v>0.1</v>
      </c>
      <c r="X18" s="121">
        <f t="shared" si="7"/>
        <v>37.999997676563801</v>
      </c>
      <c r="Y18" s="119">
        <v>0.12</v>
      </c>
      <c r="Z18" s="120">
        <f t="shared" si="8"/>
        <v>45.599997211876556</v>
      </c>
      <c r="AA18" s="310">
        <v>4.4999999999999998E-2</v>
      </c>
      <c r="AB18" s="130">
        <f t="shared" si="9"/>
        <v>17.09999895445371</v>
      </c>
      <c r="AC18" s="150">
        <v>6.3E-2</v>
      </c>
      <c r="AD18" s="120">
        <f t="shared" si="17"/>
        <v>23.939998536235194</v>
      </c>
      <c r="AE18" s="122">
        <v>0.02</v>
      </c>
      <c r="AF18" s="121">
        <f t="shared" si="10"/>
        <v>7.5999995353127598</v>
      </c>
      <c r="AG18" s="119">
        <v>0.04</v>
      </c>
      <c r="AH18" s="120">
        <f t="shared" si="11"/>
        <v>15.19999907062552</v>
      </c>
      <c r="AI18" s="122">
        <v>0.05</v>
      </c>
      <c r="AJ18" s="121">
        <f t="shared" si="12"/>
        <v>18.999998838281901</v>
      </c>
      <c r="AK18" s="123">
        <v>9.9728209845085347E-2</v>
      </c>
      <c r="AL18" s="120">
        <f t="shared" si="13"/>
        <v>37.896717424011101</v>
      </c>
      <c r="AM18" s="133">
        <f t="shared" si="18"/>
        <v>357.47881163277327</v>
      </c>
      <c r="AN18" s="116">
        <f t="shared" si="19"/>
        <v>379.999976765638</v>
      </c>
      <c r="AO18" s="118">
        <f>AN18/D18</f>
        <v>18.999998838281901</v>
      </c>
      <c r="AP18" s="116">
        <f t="shared" si="21"/>
        <v>29.230767443510615</v>
      </c>
      <c r="AQ18" s="35"/>
      <c r="AR18" s="146"/>
      <c r="AS18" s="147" t="s">
        <v>103</v>
      </c>
      <c r="AT18" s="24">
        <v>1.4</v>
      </c>
      <c r="AU18" s="30"/>
      <c r="AV18" s="31"/>
      <c r="AW18" s="19"/>
      <c r="AX18" s="19"/>
      <c r="AY18" s="53"/>
      <c r="AZ18" s="2"/>
    </row>
    <row r="19" spans="1:52" ht="17" thickBot="1" x14ac:dyDescent="0.25">
      <c r="A19" s="125"/>
      <c r="B19" s="127" t="s">
        <v>141</v>
      </c>
      <c r="C19" s="334">
        <v>300</v>
      </c>
      <c r="D19" s="324">
        <v>20</v>
      </c>
      <c r="E19" s="334" t="str">
        <f t="shared" si="14"/>
        <v>6 kg</v>
      </c>
      <c r="F19" s="345">
        <v>6</v>
      </c>
      <c r="G19" s="124">
        <v>4</v>
      </c>
      <c r="H19" s="350">
        <f t="shared" si="0"/>
        <v>68</v>
      </c>
      <c r="I19" s="118">
        <f t="shared" si="15"/>
        <v>9.8442889880752862</v>
      </c>
      <c r="J19" s="117" t="s">
        <v>25</v>
      </c>
      <c r="K19" s="121">
        <f t="shared" si="1"/>
        <v>1.7999999999999998</v>
      </c>
      <c r="L19" s="117" t="s">
        <v>25</v>
      </c>
      <c r="M19" s="120">
        <f t="shared" si="2"/>
        <v>23</v>
      </c>
      <c r="N19" s="136" t="s">
        <v>25</v>
      </c>
      <c r="O19" s="165">
        <f t="shared" si="3"/>
        <v>0</v>
      </c>
      <c r="P19" s="117" t="s">
        <v>25</v>
      </c>
      <c r="Q19" s="120">
        <f t="shared" si="4"/>
        <v>3</v>
      </c>
      <c r="R19" s="133">
        <f t="shared" si="5"/>
        <v>105.64428898807529</v>
      </c>
      <c r="S19" s="143">
        <v>0.3</v>
      </c>
      <c r="T19" s="116">
        <f t="shared" si="16"/>
        <v>150.92041284010756</v>
      </c>
      <c r="U19" s="119">
        <v>0.02</v>
      </c>
      <c r="V19" s="120">
        <f t="shared" si="6"/>
        <v>6.9999995333109881</v>
      </c>
      <c r="W19" s="122">
        <v>0.1</v>
      </c>
      <c r="X19" s="121">
        <f t="shared" si="7"/>
        <v>34.99999766655494</v>
      </c>
      <c r="Y19" s="119">
        <v>0.12</v>
      </c>
      <c r="Z19" s="120">
        <f t="shared" si="8"/>
        <v>41.99999719986593</v>
      </c>
      <c r="AA19" s="310">
        <v>4.4999999999999998E-2</v>
      </c>
      <c r="AB19" s="130">
        <f t="shared" si="9"/>
        <v>15.749998949949722</v>
      </c>
      <c r="AC19" s="150">
        <v>6.3E-2</v>
      </c>
      <c r="AD19" s="120">
        <f t="shared" si="17"/>
        <v>22.049998529929614</v>
      </c>
      <c r="AE19" s="122">
        <v>0.02</v>
      </c>
      <c r="AF19" s="121">
        <f t="shared" si="10"/>
        <v>6.9999995333109881</v>
      </c>
      <c r="AG19" s="119">
        <v>0.04</v>
      </c>
      <c r="AH19" s="120">
        <f t="shared" si="11"/>
        <v>13.999999066621976</v>
      </c>
      <c r="AI19" s="122">
        <v>0.05</v>
      </c>
      <c r="AJ19" s="121">
        <f t="shared" si="12"/>
        <v>17.49999883327747</v>
      </c>
      <c r="AK19" s="123">
        <v>0.11079879170871185</v>
      </c>
      <c r="AL19" s="120">
        <f t="shared" si="13"/>
        <v>38.779574512620215</v>
      </c>
      <c r="AM19" s="133">
        <f t="shared" si="18"/>
        <v>329.25679836834377</v>
      </c>
      <c r="AN19" s="116">
        <f t="shared" si="19"/>
        <v>349.99997666554941</v>
      </c>
      <c r="AO19" s="118">
        <f t="shared" ref="AO19" si="22">AN19/20</f>
        <v>17.49999883327747</v>
      </c>
      <c r="AP19" s="116">
        <f>AO19/0.65</f>
        <v>26.923075128119184</v>
      </c>
      <c r="AQ19" s="1"/>
      <c r="AR19" s="408" t="s">
        <v>47</v>
      </c>
      <c r="AS19" s="409"/>
      <c r="AT19" s="34">
        <v>4</v>
      </c>
      <c r="AU19" s="30"/>
      <c r="AV19" s="31"/>
      <c r="AW19" s="52" t="s">
        <v>48</v>
      </c>
      <c r="AX19" s="149">
        <f>AX16/(AX7*20)</f>
        <v>10.075398692810456</v>
      </c>
      <c r="AY19" s="2"/>
      <c r="AZ19" s="2"/>
    </row>
    <row r="20" spans="1:52" x14ac:dyDescent="0.2">
      <c r="A20" s="125"/>
      <c r="B20" s="128" t="s">
        <v>64</v>
      </c>
      <c r="C20" s="335">
        <v>200</v>
      </c>
      <c r="D20" s="325">
        <v>1</v>
      </c>
      <c r="E20" s="335" t="str">
        <f t="shared" si="14"/>
        <v>0,2 kg</v>
      </c>
      <c r="F20" s="325">
        <v>7</v>
      </c>
      <c r="G20" s="92"/>
      <c r="H20" s="351">
        <f t="shared" si="0"/>
        <v>0</v>
      </c>
      <c r="I20" s="95">
        <f t="shared" si="15"/>
        <v>9</v>
      </c>
      <c r="J20" s="94" t="s">
        <v>25</v>
      </c>
      <c r="K20" s="98">
        <f t="shared" si="1"/>
        <v>1.7</v>
      </c>
      <c r="L20" s="101"/>
      <c r="M20" s="97">
        <f t="shared" si="2"/>
        <v>0</v>
      </c>
      <c r="N20" s="137" t="s">
        <v>25</v>
      </c>
      <c r="O20" s="165">
        <f t="shared" si="3"/>
        <v>1.4</v>
      </c>
      <c r="P20" s="94" t="s">
        <v>25</v>
      </c>
      <c r="Q20" s="141">
        <f t="shared" si="4"/>
        <v>3</v>
      </c>
      <c r="R20" s="134">
        <f t="shared" si="5"/>
        <v>15.1</v>
      </c>
      <c r="S20" s="144">
        <v>0.05</v>
      </c>
      <c r="T20" s="93">
        <f t="shared" si="16"/>
        <v>15.894736842105264</v>
      </c>
      <c r="U20" s="96">
        <v>0.02</v>
      </c>
      <c r="V20" s="97">
        <f t="shared" si="6"/>
        <v>0.54006233323284358</v>
      </c>
      <c r="W20" s="99">
        <v>0.1</v>
      </c>
      <c r="X20" s="98">
        <f t="shared" si="7"/>
        <v>2.7003116661642181</v>
      </c>
      <c r="Y20" s="96">
        <v>0.08</v>
      </c>
      <c r="Z20" s="97">
        <f t="shared" si="8"/>
        <v>2.1602493329313743</v>
      </c>
      <c r="AA20" s="311">
        <v>4.4999999999999998E-2</v>
      </c>
      <c r="AB20" s="131">
        <f t="shared" si="9"/>
        <v>1.2151402497738979</v>
      </c>
      <c r="AC20" s="151">
        <v>6.3E-2</v>
      </c>
      <c r="AD20" s="97">
        <f t="shared" si="17"/>
        <v>1.7011963496834572</v>
      </c>
      <c r="AE20" s="99"/>
      <c r="AF20" s="98">
        <f t="shared" si="10"/>
        <v>0</v>
      </c>
      <c r="AG20" s="96"/>
      <c r="AH20" s="97">
        <f t="shared" si="11"/>
        <v>0</v>
      </c>
      <c r="AI20" s="99"/>
      <c r="AJ20" s="98">
        <f t="shared" si="12"/>
        <v>0</v>
      </c>
      <c r="AK20" s="100">
        <v>0.10337398911127633</v>
      </c>
      <c r="AL20" s="97">
        <f t="shared" si="13"/>
        <v>2.7914198877511232</v>
      </c>
      <c r="AM20" s="134">
        <f t="shared" si="18"/>
        <v>25.402743802109296</v>
      </c>
      <c r="AN20" s="93">
        <f t="shared" si="19"/>
        <v>27.003116661642178</v>
      </c>
      <c r="AO20" s="95"/>
      <c r="AP20" s="93"/>
      <c r="AQ20" s="1"/>
      <c r="AR20" s="3"/>
      <c r="AS20" s="3"/>
      <c r="AT20" s="19"/>
      <c r="AU20" s="30"/>
      <c r="AV20" s="31"/>
      <c r="AW20" s="1"/>
      <c r="AX20" s="53"/>
      <c r="AY20" s="2"/>
      <c r="AZ20" s="2"/>
    </row>
    <row r="21" spans="1:52" ht="17" thickBot="1" x14ac:dyDescent="0.25">
      <c r="A21" s="125"/>
      <c r="B21" s="128" t="s">
        <v>41</v>
      </c>
      <c r="C21" s="335">
        <v>200</v>
      </c>
      <c r="D21" s="325">
        <v>1</v>
      </c>
      <c r="E21" s="335" t="str">
        <f t="shared" si="14"/>
        <v>0,2 kg</v>
      </c>
      <c r="F21" s="325">
        <v>8</v>
      </c>
      <c r="G21" s="92"/>
      <c r="H21" s="351">
        <f t="shared" si="0"/>
        <v>0</v>
      </c>
      <c r="I21" s="95">
        <f t="shared" si="15"/>
        <v>9</v>
      </c>
      <c r="J21" s="94" t="s">
        <v>25</v>
      </c>
      <c r="K21" s="98">
        <f t="shared" si="1"/>
        <v>1.7</v>
      </c>
      <c r="L21" s="101"/>
      <c r="M21" s="97">
        <f t="shared" si="2"/>
        <v>0</v>
      </c>
      <c r="N21" s="137" t="s">
        <v>25</v>
      </c>
      <c r="O21" s="165">
        <f t="shared" si="3"/>
        <v>1.4</v>
      </c>
      <c r="P21" s="94" t="s">
        <v>25</v>
      </c>
      <c r="Q21" s="141">
        <f t="shared" si="4"/>
        <v>3</v>
      </c>
      <c r="R21" s="134">
        <f t="shared" si="5"/>
        <v>15.1</v>
      </c>
      <c r="S21" s="144">
        <v>0.05</v>
      </c>
      <c r="T21" s="93">
        <f t="shared" si="16"/>
        <v>15.894736842105264</v>
      </c>
      <c r="U21" s="96">
        <v>0.02</v>
      </c>
      <c r="V21" s="97">
        <f t="shared" si="6"/>
        <v>0.54006233323284358</v>
      </c>
      <c r="W21" s="99">
        <v>0.1</v>
      </c>
      <c r="X21" s="98">
        <f t="shared" si="7"/>
        <v>2.7003116661642181</v>
      </c>
      <c r="Y21" s="96">
        <v>0.08</v>
      </c>
      <c r="Z21" s="97">
        <f t="shared" si="8"/>
        <v>2.1602493329313743</v>
      </c>
      <c r="AA21" s="311">
        <v>4.4999999999999998E-2</v>
      </c>
      <c r="AB21" s="131">
        <f t="shared" si="9"/>
        <v>1.2151402497738979</v>
      </c>
      <c r="AC21" s="151">
        <v>6.3E-2</v>
      </c>
      <c r="AD21" s="97">
        <f t="shared" si="17"/>
        <v>1.7011963496834572</v>
      </c>
      <c r="AE21" s="99"/>
      <c r="AF21" s="98">
        <f t="shared" si="10"/>
        <v>0</v>
      </c>
      <c r="AG21" s="96"/>
      <c r="AH21" s="97">
        <f t="shared" si="11"/>
        <v>0</v>
      </c>
      <c r="AI21" s="99"/>
      <c r="AJ21" s="98">
        <f t="shared" si="12"/>
        <v>0</v>
      </c>
      <c r="AK21" s="100">
        <v>0.10337398911127633</v>
      </c>
      <c r="AL21" s="97">
        <f t="shared" si="13"/>
        <v>2.7914198877511232</v>
      </c>
      <c r="AM21" s="134">
        <f t="shared" si="18"/>
        <v>25.402743802109296</v>
      </c>
      <c r="AN21" s="93">
        <f t="shared" si="19"/>
        <v>27.003116661642178</v>
      </c>
      <c r="AO21" s="95"/>
      <c r="AP21" s="93"/>
      <c r="AQ21" s="1"/>
      <c r="AR21" s="3"/>
      <c r="AS21" s="3"/>
      <c r="AT21" s="19"/>
      <c r="AU21" s="30"/>
      <c r="AV21" s="31"/>
      <c r="AW21" s="1"/>
      <c r="AX21" s="53"/>
      <c r="AY21" s="2"/>
      <c r="AZ21" s="2"/>
    </row>
    <row r="22" spans="1:52" ht="17" thickBot="1" x14ac:dyDescent="0.25">
      <c r="A22" s="125"/>
      <c r="B22" s="128" t="s">
        <v>95</v>
      </c>
      <c r="C22" s="335">
        <v>200</v>
      </c>
      <c r="D22" s="325">
        <v>12</v>
      </c>
      <c r="E22" s="335" t="str">
        <f t="shared" si="14"/>
        <v>2,4 kg</v>
      </c>
      <c r="F22" s="325">
        <v>7</v>
      </c>
      <c r="G22" s="92"/>
      <c r="H22" s="351">
        <f t="shared" si="0"/>
        <v>0</v>
      </c>
      <c r="I22" s="95">
        <f t="shared" si="15"/>
        <v>108</v>
      </c>
      <c r="J22" s="94" t="s">
        <v>25</v>
      </c>
      <c r="K22" s="98">
        <f t="shared" si="1"/>
        <v>20.399999999999999</v>
      </c>
      <c r="L22" s="101"/>
      <c r="M22" s="97">
        <f t="shared" si="2"/>
        <v>0</v>
      </c>
      <c r="N22" s="138" t="s">
        <v>25</v>
      </c>
      <c r="O22" s="165">
        <f t="shared" si="3"/>
        <v>16.799999999999997</v>
      </c>
      <c r="P22" s="101" t="s">
        <v>25</v>
      </c>
      <c r="Q22" s="141">
        <f t="shared" si="4"/>
        <v>3</v>
      </c>
      <c r="R22" s="134">
        <f t="shared" si="5"/>
        <v>148.19999999999999</v>
      </c>
      <c r="S22" s="144">
        <v>0.05</v>
      </c>
      <c r="T22" s="93">
        <f t="shared" si="16"/>
        <v>156</v>
      </c>
      <c r="U22" s="96">
        <v>0.02</v>
      </c>
      <c r="V22" s="97">
        <f t="shared" si="6"/>
        <v>6.0904110487415908</v>
      </c>
      <c r="W22" s="99">
        <v>0.1</v>
      </c>
      <c r="X22" s="98">
        <f t="shared" si="7"/>
        <v>30.452055243707953</v>
      </c>
      <c r="Y22" s="96">
        <v>0.08</v>
      </c>
      <c r="Z22" s="97">
        <f t="shared" si="8"/>
        <v>24.361644194966363</v>
      </c>
      <c r="AA22" s="311">
        <v>4.4999999999999998E-2</v>
      </c>
      <c r="AB22" s="131">
        <f t="shared" si="9"/>
        <v>13.703424859668578</v>
      </c>
      <c r="AC22" s="151">
        <v>6.3E-2</v>
      </c>
      <c r="AD22" s="97">
        <f t="shared" si="17"/>
        <v>19.184794803536011</v>
      </c>
      <c r="AE22" s="99"/>
      <c r="AF22" s="98">
        <f t="shared" si="10"/>
        <v>0</v>
      </c>
      <c r="AG22" s="96"/>
      <c r="AH22" s="97">
        <f t="shared" si="11"/>
        <v>0</v>
      </c>
      <c r="AI22" s="99"/>
      <c r="AJ22" s="98">
        <f t="shared" si="12"/>
        <v>0</v>
      </c>
      <c r="AK22" s="100">
        <v>0.17971930580208384</v>
      </c>
      <c r="AL22" s="97">
        <f t="shared" si="13"/>
        <v>54.728222286459001</v>
      </c>
      <c r="AM22" s="134">
        <f t="shared" si="18"/>
        <v>286.47276804993373</v>
      </c>
      <c r="AN22" s="93">
        <f t="shared" si="19"/>
        <v>304.52055243707952</v>
      </c>
      <c r="AO22" s="95">
        <f>AN22/D22</f>
        <v>25.376712703089961</v>
      </c>
      <c r="AP22" s="93">
        <f>AO22/0.65</f>
        <v>39.041096466292245</v>
      </c>
      <c r="AQ22" s="1"/>
      <c r="AR22" s="413" t="s">
        <v>49</v>
      </c>
      <c r="AS22" s="414"/>
      <c r="AT22" s="414"/>
      <c r="AU22" s="414"/>
      <c r="AV22" s="414"/>
      <c r="AW22" s="414"/>
      <c r="AX22" s="415"/>
      <c r="AY22" s="2"/>
      <c r="AZ22" s="2"/>
    </row>
    <row r="23" spans="1:52" ht="17" thickBot="1" x14ac:dyDescent="0.25">
      <c r="A23" s="125"/>
      <c r="B23" s="128" t="s">
        <v>94</v>
      </c>
      <c r="C23" s="335">
        <v>200</v>
      </c>
      <c r="D23" s="325">
        <v>12</v>
      </c>
      <c r="E23" s="335" t="str">
        <f t="shared" si="14"/>
        <v>2,4 kg</v>
      </c>
      <c r="F23" s="325">
        <v>8</v>
      </c>
      <c r="G23" s="92"/>
      <c r="H23" s="351">
        <f t="shared" si="0"/>
        <v>0</v>
      </c>
      <c r="I23" s="95">
        <f t="shared" si="15"/>
        <v>108</v>
      </c>
      <c r="J23" s="94" t="s">
        <v>25</v>
      </c>
      <c r="K23" s="98">
        <f t="shared" si="1"/>
        <v>20.399999999999999</v>
      </c>
      <c r="L23" s="101"/>
      <c r="M23" s="97">
        <f t="shared" si="2"/>
        <v>0</v>
      </c>
      <c r="N23" s="138" t="s">
        <v>25</v>
      </c>
      <c r="O23" s="165">
        <f t="shared" si="3"/>
        <v>16.799999999999997</v>
      </c>
      <c r="P23" s="101" t="s">
        <v>25</v>
      </c>
      <c r="Q23" s="141">
        <f>IF(P23="s",IF(F23=1,$AT$19,IF(F23=2,$AT$35,IF(F23=3,$AT$52,IF(F23=4,$AT$69,IF(F23=5,$AT$86,IF(F23=6,$AT$103,IF(F23=7,$AX$116,IF(F23=8,$AX$116,IF(F23=9,$AX$119,IF(F23=10,$AX$119,IF(F23=11,$AX$122,IF(F23=12,$AX$122)))))))))))),0)</f>
        <v>3</v>
      </c>
      <c r="R23" s="134">
        <f t="shared" si="5"/>
        <v>148.19999999999999</v>
      </c>
      <c r="S23" s="144">
        <v>0.05</v>
      </c>
      <c r="T23" s="93">
        <f t="shared" si="16"/>
        <v>156</v>
      </c>
      <c r="U23" s="96">
        <v>0.02</v>
      </c>
      <c r="V23" s="97">
        <f t="shared" si="6"/>
        <v>6.0904110487415908</v>
      </c>
      <c r="W23" s="99">
        <v>0.1</v>
      </c>
      <c r="X23" s="98">
        <f t="shared" si="7"/>
        <v>30.452055243707953</v>
      </c>
      <c r="Y23" s="96">
        <v>0.08</v>
      </c>
      <c r="Z23" s="97">
        <f t="shared" si="8"/>
        <v>24.361644194966363</v>
      </c>
      <c r="AA23" s="311">
        <v>4.4999999999999998E-2</v>
      </c>
      <c r="AB23" s="131">
        <f t="shared" si="9"/>
        <v>13.703424859668578</v>
      </c>
      <c r="AC23" s="151">
        <v>6.3E-2</v>
      </c>
      <c r="AD23" s="97">
        <f t="shared" si="17"/>
        <v>19.184794803536011</v>
      </c>
      <c r="AE23" s="99"/>
      <c r="AF23" s="98">
        <f t="shared" si="10"/>
        <v>0</v>
      </c>
      <c r="AG23" s="96"/>
      <c r="AH23" s="97">
        <f t="shared" si="11"/>
        <v>0</v>
      </c>
      <c r="AI23" s="99"/>
      <c r="AJ23" s="98">
        <f t="shared" si="12"/>
        <v>0</v>
      </c>
      <c r="AK23" s="100">
        <v>0.17971930580208384</v>
      </c>
      <c r="AL23" s="97">
        <f t="shared" si="13"/>
        <v>54.728222286459001</v>
      </c>
      <c r="AM23" s="134">
        <f t="shared" si="18"/>
        <v>286.47276804993373</v>
      </c>
      <c r="AN23" s="93">
        <f t="shared" si="19"/>
        <v>304.52055243707952</v>
      </c>
      <c r="AO23" s="95">
        <f>AN23/D23</f>
        <v>25.376712703089961</v>
      </c>
      <c r="AP23" s="93">
        <f>AO23/0.65</f>
        <v>39.041096466292245</v>
      </c>
      <c r="AQ23" s="1"/>
      <c r="AR23" s="428" t="s">
        <v>28</v>
      </c>
      <c r="AS23" s="429"/>
      <c r="AT23" s="429"/>
      <c r="AU23" s="429"/>
      <c r="AV23" s="429"/>
      <c r="AW23" s="430"/>
      <c r="AX23" s="4">
        <v>200</v>
      </c>
      <c r="AY23" s="2"/>
      <c r="AZ23" s="2"/>
    </row>
    <row r="24" spans="1:52" x14ac:dyDescent="0.2">
      <c r="A24" s="125"/>
      <c r="B24" s="155" t="s">
        <v>149</v>
      </c>
      <c r="C24" s="336">
        <v>500</v>
      </c>
      <c r="D24" s="326">
        <v>1</v>
      </c>
      <c r="E24" s="336" t="str">
        <f t="shared" si="14"/>
        <v>0,5 kg</v>
      </c>
      <c r="F24" s="326">
        <v>9</v>
      </c>
      <c r="G24" s="156"/>
      <c r="H24" s="352">
        <f t="shared" si="0"/>
        <v>0</v>
      </c>
      <c r="I24" s="163">
        <f t="shared" si="15"/>
        <v>6</v>
      </c>
      <c r="J24" s="157" t="s">
        <v>25</v>
      </c>
      <c r="K24" s="165">
        <f>IF(J24="s",IF(F24=1,$AT$16,IF(F24=2,$AT$32,IF(F24=3,$AT$49,IF(F24=4,$AT$66,IF(F24=5,$AT$83,IF(F24=6,$AT$100,IF(F24=7,$AX$114,IF(F24=8,$AX$114,IF(F24=9,$AX$117,IF(F24=10,$AX$117,IF(F24=11,$AX$120,IF(F24=12,$AX$120))))))))))))*D24,0)</f>
        <v>2.1</v>
      </c>
      <c r="L24" s="159"/>
      <c r="M24" s="158">
        <f t="shared" si="2"/>
        <v>0</v>
      </c>
      <c r="N24" s="160" t="s">
        <v>25</v>
      </c>
      <c r="O24" s="165">
        <f>IF(N24="s",IF(F24=1,$AT$18,IF(F24=2,$AT$34,IF(F24=3,$AT$51,IF(F24=4,$AT$68,IF(F24=5,$AT$85,IF(F24=6,$AV$102,IF(F24=7,$AX$115,IF(F24=8,$AX$115,IF(F24=9,$AX$118,IF(F24=10,$AX$118,IF(F24=11,$AX$121,IF(F24=12,$AX$121))))))))))))*D24,0)</f>
        <v>1.4</v>
      </c>
      <c r="P24" s="159" t="s">
        <v>25</v>
      </c>
      <c r="Q24" s="158">
        <f t="shared" ref="Q24:Q58" si="23">IF(P24="s",IF(F24=1,$AT$19,IF(F24=2,$AT$35,IF(F24=3,$AT$52,IF(F24=4,$AT$69,IF(F24=5,$AT$86,IF(F24=6,$AT$103,IF(F24=7,$AX$116,IF(F24=8,$AX$116,IF(F24=9,$AX$119,IF(F24=10,$AX$119,IF(F24=11,$AX$122,IF(F24=12,$AX$122)))))))))))),0)</f>
        <v>3</v>
      </c>
      <c r="R24" s="161">
        <f t="shared" si="5"/>
        <v>12.5</v>
      </c>
      <c r="S24" s="162">
        <v>0.3</v>
      </c>
      <c r="T24" s="170">
        <f t="shared" si="16"/>
        <v>17.857142857142858</v>
      </c>
      <c r="U24" s="164">
        <v>0.02</v>
      </c>
      <c r="V24" s="158">
        <f t="shared" si="6"/>
        <v>0.90090103159314538</v>
      </c>
      <c r="W24" s="168">
        <v>0.1</v>
      </c>
      <c r="X24" s="165">
        <f t="shared" si="7"/>
        <v>4.5045051579657267</v>
      </c>
      <c r="Y24" s="164">
        <v>0.08</v>
      </c>
      <c r="Z24" s="158">
        <f t="shared" si="8"/>
        <v>3.6036041263725815</v>
      </c>
      <c r="AA24" s="312">
        <v>4.4999999999999998E-2</v>
      </c>
      <c r="AB24" s="167">
        <f t="shared" si="9"/>
        <v>2.0270273210845771</v>
      </c>
      <c r="AC24" s="166">
        <v>6.3E-2</v>
      </c>
      <c r="AD24" s="158">
        <f t="shared" si="17"/>
        <v>2.8378382495184078</v>
      </c>
      <c r="AE24" s="168"/>
      <c r="AF24" s="165">
        <f t="shared" si="10"/>
        <v>0</v>
      </c>
      <c r="AG24" s="164"/>
      <c r="AH24" s="158">
        <f t="shared" si="11"/>
        <v>0</v>
      </c>
      <c r="AI24" s="168"/>
      <c r="AJ24" s="165">
        <f t="shared" si="12"/>
        <v>0</v>
      </c>
      <c r="AK24" s="169">
        <v>0.29557148608067529</v>
      </c>
      <c r="AL24" s="158">
        <f t="shared" si="13"/>
        <v>13.314032835979969</v>
      </c>
      <c r="AM24" s="161">
        <f t="shared" si="18"/>
        <v>42.375401297890193</v>
      </c>
      <c r="AN24" s="170">
        <f t="shared" si="19"/>
        <v>45.045051579657269</v>
      </c>
      <c r="AO24" s="163">
        <f t="shared" ref="AO24:AO27" si="24">AN24/D24</f>
        <v>45.045051579657269</v>
      </c>
      <c r="AP24" s="170"/>
      <c r="AQ24" s="1"/>
      <c r="AR24" s="456" t="s">
        <v>30</v>
      </c>
      <c r="AS24" s="457"/>
      <c r="AT24" s="458" t="s">
        <v>31</v>
      </c>
      <c r="AU24" s="459"/>
      <c r="AV24" s="457"/>
      <c r="AW24" s="458" t="s">
        <v>32</v>
      </c>
      <c r="AX24" s="460"/>
      <c r="AY24" s="2"/>
      <c r="AZ24" s="2"/>
    </row>
    <row r="25" spans="1:52" x14ac:dyDescent="0.2">
      <c r="A25" s="125"/>
      <c r="B25" s="384" t="s">
        <v>148</v>
      </c>
      <c r="C25" s="385">
        <v>500</v>
      </c>
      <c r="D25" s="386">
        <v>1</v>
      </c>
      <c r="E25" s="385" t="str">
        <f t="shared" si="14"/>
        <v>0,5 kg</v>
      </c>
      <c r="F25" s="386">
        <v>10</v>
      </c>
      <c r="G25" s="387"/>
      <c r="H25" s="388">
        <f t="shared" si="0"/>
        <v>0</v>
      </c>
      <c r="I25" s="389">
        <f t="shared" si="15"/>
        <v>22.5</v>
      </c>
      <c r="J25" s="390" t="s">
        <v>25</v>
      </c>
      <c r="K25" s="391">
        <f t="shared" ref="K25:K58" si="25">IF(J25="s",IF(F25=1,$AT$16,IF(F25=2,$AT$32,IF(F25=3,$AT$49,IF(F25=4,$AT$66,IF(F25=5,$AT$83,IF(F25=6,$AT$100,IF(F25=7,$AX$114,IF(F25=8,$AX$114,IF(F25=9,$AX$117,IF(F25=10,$AX$117,IF(F25=11,$AX$120,IF(F25=12,$AX$120))))))))))))*D25,0)</f>
        <v>2.1</v>
      </c>
      <c r="L25" s="392"/>
      <c r="M25" s="393">
        <f t="shared" si="2"/>
        <v>0</v>
      </c>
      <c r="N25" s="394" t="s">
        <v>25</v>
      </c>
      <c r="O25" s="391">
        <f t="shared" ref="O25:O58" si="26">IF(N25="s",IF(F25=1,$AT$18,IF(F25=2,$AT$34,IF(F25=3,$AT$51,IF(F25=4,$AT$68,IF(F25=5,$AT$85,IF(F25=6,$AV$102,IF(F25=7,$AX$115,IF(F25=8,$AX$115,IF(F25=9,$AX$118,IF(F25=10,$AX$118,IF(F25=11,$AX$121,IF(F25=12,$AX$121))))))))))))*D25,0)</f>
        <v>1.4</v>
      </c>
      <c r="P25" s="392" t="s">
        <v>25</v>
      </c>
      <c r="Q25" s="393">
        <f t="shared" si="23"/>
        <v>3</v>
      </c>
      <c r="R25" s="395">
        <f t="shared" si="5"/>
        <v>29</v>
      </c>
      <c r="S25" s="396">
        <v>0.05</v>
      </c>
      <c r="T25" s="397">
        <f t="shared" si="16"/>
        <v>30.526315789473685</v>
      </c>
      <c r="U25" s="398">
        <v>0.02</v>
      </c>
      <c r="V25" s="393">
        <f t="shared" si="6"/>
        <v>0.95097556976553532</v>
      </c>
      <c r="W25" s="399">
        <v>0.1</v>
      </c>
      <c r="X25" s="391">
        <f t="shared" si="7"/>
        <v>4.7548778488276771</v>
      </c>
      <c r="Y25" s="398">
        <v>0.08</v>
      </c>
      <c r="Z25" s="393">
        <f t="shared" si="8"/>
        <v>3.8039022790621413</v>
      </c>
      <c r="AA25" s="400">
        <v>4.4999999999999998E-2</v>
      </c>
      <c r="AB25" s="401">
        <f t="shared" si="9"/>
        <v>2.1396950319724546</v>
      </c>
      <c r="AC25" s="402">
        <v>6.3E-2</v>
      </c>
      <c r="AD25" s="393">
        <f t="shared" si="17"/>
        <v>2.9955730447614362</v>
      </c>
      <c r="AE25" s="399"/>
      <c r="AF25" s="391">
        <f t="shared" si="10"/>
        <v>0</v>
      </c>
      <c r="AG25" s="398"/>
      <c r="AH25" s="393">
        <f t="shared" si="11"/>
        <v>0</v>
      </c>
      <c r="AI25" s="399"/>
      <c r="AJ25" s="391">
        <f t="shared" si="12"/>
        <v>0</v>
      </c>
      <c r="AK25" s="403">
        <v>0.05</v>
      </c>
      <c r="AL25" s="393">
        <f t="shared" si="13"/>
        <v>2.3774389244138385</v>
      </c>
      <c r="AM25" s="395">
        <f t="shared" si="18"/>
        <v>44.730741757551051</v>
      </c>
      <c r="AN25" s="397">
        <f t="shared" si="19"/>
        <v>47.548778488276767</v>
      </c>
      <c r="AO25" s="389">
        <f t="shared" si="24"/>
        <v>47.548778488276767</v>
      </c>
      <c r="AP25" s="397"/>
      <c r="AQ25" s="1"/>
      <c r="AR25" s="452"/>
      <c r="AS25" s="453"/>
      <c r="AT25" s="7" t="s">
        <v>33</v>
      </c>
      <c r="AU25" s="7" t="s">
        <v>34</v>
      </c>
      <c r="AV25" s="7" t="s">
        <v>35</v>
      </c>
      <c r="AW25" s="8" t="s">
        <v>36</v>
      </c>
      <c r="AX25" s="9" t="s">
        <v>37</v>
      </c>
      <c r="AY25" s="2"/>
      <c r="AZ25" s="2"/>
    </row>
    <row r="26" spans="1:52" x14ac:dyDescent="0.2">
      <c r="A26" s="125"/>
      <c r="B26" s="155" t="s">
        <v>150</v>
      </c>
      <c r="C26" s="336">
        <v>1050</v>
      </c>
      <c r="D26" s="326">
        <v>1</v>
      </c>
      <c r="E26" s="336" t="str">
        <f t="shared" ref="E26" si="27">CONCATENATE((C26*D26)/1000," kg")</f>
        <v>1,05 kg</v>
      </c>
      <c r="F26" s="326">
        <v>11</v>
      </c>
      <c r="G26" s="156"/>
      <c r="H26" s="352">
        <f t="shared" ref="H26" si="28">(IF(F26=1,0,IF(F26=2,0,IF(F26=3,0,IF(F26=4,0,IF(F26=5,IF(G26=1,$AT$107,IF(G26=2,$AT$108,IF(G26=3,$AT$109,IF(G26=4,$AT$110)))),IF(F26=6,IF(G26=1,$AT$107,IF(G26=2,$AT$108,IF(G26=3,$AT$109,IF(G26=4,$AT$110))))))))))/1000*C26*D26)</f>
        <v>0</v>
      </c>
      <c r="I26" s="163">
        <f t="shared" si="15"/>
        <v>12.6</v>
      </c>
      <c r="J26" s="157" t="s">
        <v>25</v>
      </c>
      <c r="K26" s="165">
        <f t="shared" si="25"/>
        <v>3.1</v>
      </c>
      <c r="L26" s="159"/>
      <c r="M26" s="158">
        <f t="shared" ref="M26" si="29">IF(L26="S",IF(F26=1,$AT$17,IF(F26=2,$AT$33,IF(F26=3,$AT$50,IF(F26=4,$AT$67,IF(F26=5,$AT$84,IF(F26=6,$AT$101,IF(F26=7,$AX$115,IF(F26=8,$AX$115))))))))*$D26,0)</f>
        <v>0</v>
      </c>
      <c r="N26" s="160"/>
      <c r="O26" s="165">
        <f t="shared" si="26"/>
        <v>0</v>
      </c>
      <c r="P26" s="159" t="s">
        <v>25</v>
      </c>
      <c r="Q26" s="158">
        <f t="shared" si="23"/>
        <v>3</v>
      </c>
      <c r="R26" s="161">
        <f t="shared" si="5"/>
        <v>18.7</v>
      </c>
      <c r="S26" s="162">
        <v>0.3</v>
      </c>
      <c r="T26" s="170">
        <f t="shared" ref="T26" si="30">R26/(1-S26)</f>
        <v>26.714285714285715</v>
      </c>
      <c r="U26" s="164">
        <v>0.02</v>
      </c>
      <c r="V26" s="158">
        <f t="shared" ref="V26" si="31">U26*AN26</f>
        <v>1.499999868896785</v>
      </c>
      <c r="W26" s="168">
        <v>0.1</v>
      </c>
      <c r="X26" s="165">
        <f t="shared" ref="X26" si="32">W26*AN26</f>
        <v>7.4999993444839248</v>
      </c>
      <c r="Y26" s="164">
        <v>0.08</v>
      </c>
      <c r="Z26" s="158">
        <f t="shared" ref="Z26" si="33">Y26*AN26</f>
        <v>5.9999994755871402</v>
      </c>
      <c r="AA26" s="312">
        <v>4.4999999999999998E-2</v>
      </c>
      <c r="AB26" s="167">
        <f t="shared" ref="AB26" si="34">AA26*AN26</f>
        <v>3.3749997050177662</v>
      </c>
      <c r="AC26" s="166">
        <v>6.3E-2</v>
      </c>
      <c r="AD26" s="158">
        <f t="shared" ref="AD26" si="35">AN26*AC26</f>
        <v>4.7249995870248727</v>
      </c>
      <c r="AE26" s="168"/>
      <c r="AF26" s="165">
        <f t="shared" ref="AF26" si="36">AE26*AN26</f>
        <v>0</v>
      </c>
      <c r="AG26" s="164"/>
      <c r="AH26" s="158">
        <f t="shared" ref="AH26" si="37">AG26*AN26</f>
        <v>0</v>
      </c>
      <c r="AI26" s="168"/>
      <c r="AJ26" s="165">
        <f t="shared" ref="AJ26" si="38">AI26*AN26</f>
        <v>0</v>
      </c>
      <c r="AK26" s="169">
        <v>0.33580949267770999</v>
      </c>
      <c r="AL26" s="158">
        <f t="shared" ref="AL26" si="39">AK26*AN26</f>
        <v>25.185709749543044</v>
      </c>
      <c r="AM26" s="161">
        <f t="shared" ref="AM26" si="40">AN26/(1+AC26)</f>
        <v>70.555026759020933</v>
      </c>
      <c r="AN26" s="170">
        <f t="shared" ref="AN26" si="41">T26/(1-(IF(U26&gt;0,U26,0)+IF(W26&gt;0,W26,0)+IF(Y26&gt;0,Y26,0)+IF(AA26&gt;0,AA26,0)+IF(AC26&gt;0,AC26,0)+IF(AE26&gt;0,AE26,0)+IF(AG26&gt;0,AG26,0)+IF(AI26&gt;0,AI26,0)+IF(AK26&gt;0,AK26,0)))</f>
        <v>74.999993444839248</v>
      </c>
      <c r="AO26" s="163">
        <f t="shared" ref="AO26" si="42">AN26/D26</f>
        <v>74.999993444839248</v>
      </c>
      <c r="AP26" s="170"/>
      <c r="AQ26" s="1"/>
      <c r="AR26" s="406" t="s">
        <v>38</v>
      </c>
      <c r="AS26" s="407"/>
      <c r="AT26" s="11">
        <f>AX23/1.7</f>
        <v>117.64705882352942</v>
      </c>
      <c r="AU26" s="12">
        <f>AT26*5</f>
        <v>588.23529411764707</v>
      </c>
      <c r="AV26" s="13">
        <f>AT26*20</f>
        <v>2352.9411764705883</v>
      </c>
      <c r="AW26" s="14">
        <v>9.6</v>
      </c>
      <c r="AX26" s="15">
        <f>AV26*AW26</f>
        <v>22588.235294117647</v>
      </c>
      <c r="AY26" s="2"/>
      <c r="AZ26" s="2"/>
    </row>
    <row r="27" spans="1:52" x14ac:dyDescent="0.2">
      <c r="A27" s="125"/>
      <c r="B27" s="189" t="s">
        <v>99</v>
      </c>
      <c r="C27" s="337">
        <v>1000</v>
      </c>
      <c r="D27" s="327">
        <v>1</v>
      </c>
      <c r="E27" s="337" t="str">
        <f t="shared" si="14"/>
        <v>1 kg</v>
      </c>
      <c r="F27" s="327">
        <v>3</v>
      </c>
      <c r="G27" s="190"/>
      <c r="H27" s="353">
        <f t="shared" si="0"/>
        <v>0</v>
      </c>
      <c r="I27" s="179">
        <f t="shared" si="15"/>
        <v>12.282116651159262</v>
      </c>
      <c r="J27" s="173"/>
      <c r="K27" s="181">
        <f t="shared" si="25"/>
        <v>0</v>
      </c>
      <c r="L27" s="175" t="s">
        <v>25</v>
      </c>
      <c r="M27" s="174">
        <f t="shared" si="2"/>
        <v>1.1499999999999999</v>
      </c>
      <c r="N27" s="176"/>
      <c r="O27" s="165">
        <f t="shared" si="26"/>
        <v>0</v>
      </c>
      <c r="P27" s="175" t="s">
        <v>25</v>
      </c>
      <c r="Q27" s="174">
        <f t="shared" si="23"/>
        <v>3</v>
      </c>
      <c r="R27" s="177">
        <f t="shared" si="5"/>
        <v>16.432116651159262</v>
      </c>
      <c r="S27" s="178">
        <v>0.3</v>
      </c>
      <c r="T27" s="186">
        <f t="shared" si="16"/>
        <v>23.474452358798949</v>
      </c>
      <c r="U27" s="180">
        <v>0.02</v>
      </c>
      <c r="V27" s="174">
        <f t="shared" si="6"/>
        <v>1.279981049923919</v>
      </c>
      <c r="W27" s="184">
        <v>0.1</v>
      </c>
      <c r="X27" s="181">
        <f t="shared" si="7"/>
        <v>6.3999052496195956</v>
      </c>
      <c r="Y27" s="180">
        <v>0.12</v>
      </c>
      <c r="Z27" s="174">
        <f t="shared" si="8"/>
        <v>7.6798862995435142</v>
      </c>
      <c r="AA27" s="313">
        <v>4.4999999999999998E-2</v>
      </c>
      <c r="AB27" s="183">
        <f t="shared" si="9"/>
        <v>2.8799573623288177</v>
      </c>
      <c r="AC27" s="182">
        <v>6.3E-2</v>
      </c>
      <c r="AD27" s="174">
        <f t="shared" si="17"/>
        <v>4.0319403072603448</v>
      </c>
      <c r="AE27" s="184"/>
      <c r="AF27" s="181">
        <f t="shared" si="10"/>
        <v>0</v>
      </c>
      <c r="AG27" s="180"/>
      <c r="AH27" s="174">
        <f t="shared" si="11"/>
        <v>0</v>
      </c>
      <c r="AI27" s="184"/>
      <c r="AJ27" s="181">
        <f t="shared" si="12"/>
        <v>0</v>
      </c>
      <c r="AK27" s="185">
        <v>0.2852062516051429</v>
      </c>
      <c r="AL27" s="174">
        <f t="shared" si="13"/>
        <v>18.252929868720813</v>
      </c>
      <c r="AM27" s="177">
        <f t="shared" si="18"/>
        <v>60.206070081087447</v>
      </c>
      <c r="AN27" s="186">
        <f t="shared" si="19"/>
        <v>63.999052496195951</v>
      </c>
      <c r="AO27" s="179">
        <f t="shared" si="24"/>
        <v>63.999052496195951</v>
      </c>
      <c r="AP27" s="186"/>
      <c r="AQ27" s="1"/>
      <c r="AR27" s="406" t="s">
        <v>39</v>
      </c>
      <c r="AS27" s="407"/>
      <c r="AT27" s="6">
        <f>AX23*0.3</f>
        <v>60</v>
      </c>
      <c r="AU27" s="12">
        <f>AT27*5</f>
        <v>300</v>
      </c>
      <c r="AV27" s="13">
        <f>AT27*20</f>
        <v>1200</v>
      </c>
      <c r="AW27" s="14">
        <v>8.6999999999999993</v>
      </c>
      <c r="AX27" s="15">
        <f>AV27*AW27</f>
        <v>10440</v>
      </c>
      <c r="AY27" s="2"/>
      <c r="AZ27" s="2"/>
    </row>
    <row r="28" spans="1:52" x14ac:dyDescent="0.2">
      <c r="A28" s="125"/>
      <c r="B28" s="189" t="s">
        <v>98</v>
      </c>
      <c r="C28" s="338">
        <v>1000</v>
      </c>
      <c r="D28" s="328">
        <v>1</v>
      </c>
      <c r="E28" s="338" t="str">
        <f t="shared" si="14"/>
        <v>1 kg</v>
      </c>
      <c r="F28" s="328">
        <v>4</v>
      </c>
      <c r="G28" s="172"/>
      <c r="H28" s="353">
        <f t="shared" si="0"/>
        <v>0</v>
      </c>
      <c r="I28" s="179">
        <f t="shared" si="15"/>
        <v>10.648010818601298</v>
      </c>
      <c r="J28" s="173"/>
      <c r="K28" s="181">
        <f t="shared" si="25"/>
        <v>0</v>
      </c>
      <c r="L28" s="175" t="s">
        <v>25</v>
      </c>
      <c r="M28" s="174">
        <f t="shared" si="2"/>
        <v>1.1499999999999999</v>
      </c>
      <c r="N28" s="176"/>
      <c r="O28" s="165">
        <f t="shared" si="26"/>
        <v>0</v>
      </c>
      <c r="P28" s="175" t="s">
        <v>25</v>
      </c>
      <c r="Q28" s="174">
        <f t="shared" si="23"/>
        <v>3</v>
      </c>
      <c r="R28" s="177">
        <f t="shared" si="5"/>
        <v>14.798010818601298</v>
      </c>
      <c r="S28" s="178">
        <v>0.3</v>
      </c>
      <c r="T28" s="186">
        <f t="shared" si="16"/>
        <v>21.140015455144713</v>
      </c>
      <c r="U28" s="180">
        <v>0.02</v>
      </c>
      <c r="V28" s="174">
        <f t="shared" si="6"/>
        <v>1.1399843940041616</v>
      </c>
      <c r="W28" s="184">
        <v>0.1</v>
      </c>
      <c r="X28" s="181">
        <f t="shared" si="7"/>
        <v>5.6999219700208084</v>
      </c>
      <c r="Y28" s="180">
        <v>0.12</v>
      </c>
      <c r="Z28" s="174">
        <f t="shared" si="8"/>
        <v>6.8399063640249693</v>
      </c>
      <c r="AA28" s="313">
        <v>4.4999999999999998E-2</v>
      </c>
      <c r="AB28" s="183">
        <f t="shared" si="9"/>
        <v>2.5649648865093635</v>
      </c>
      <c r="AC28" s="182">
        <v>6.3E-2</v>
      </c>
      <c r="AD28" s="174">
        <f t="shared" si="17"/>
        <v>3.5909508411131092</v>
      </c>
      <c r="AE28" s="184"/>
      <c r="AF28" s="181">
        <f t="shared" si="10"/>
        <v>0</v>
      </c>
      <c r="AG28" s="180"/>
      <c r="AH28" s="174">
        <f t="shared" si="11"/>
        <v>0</v>
      </c>
      <c r="AI28" s="184"/>
      <c r="AJ28" s="181">
        <f t="shared" si="12"/>
        <v>0</v>
      </c>
      <c r="AK28" s="185">
        <v>0.28111745868921889</v>
      </c>
      <c r="AL28" s="174">
        <f t="shared" si="13"/>
        <v>16.023475789390957</v>
      </c>
      <c r="AM28" s="177">
        <f t="shared" si="18"/>
        <v>53.621090969151538</v>
      </c>
      <c r="AN28" s="186">
        <f t="shared" si="19"/>
        <v>56.99921970020808</v>
      </c>
      <c r="AO28" s="179">
        <f t="shared" ref="AO28:AO57" si="43">AN28/D28</f>
        <v>56.99921970020808</v>
      </c>
      <c r="AP28" s="186"/>
      <c r="AQ28" s="35"/>
      <c r="AR28" s="406" t="s">
        <v>40</v>
      </c>
      <c r="AS28" s="407"/>
      <c r="AT28" s="6">
        <f>AX23*0.014</f>
        <v>2.8000000000000003</v>
      </c>
      <c r="AU28" s="12">
        <f>AT28*5</f>
        <v>14.000000000000002</v>
      </c>
      <c r="AV28" s="13">
        <f>AT28*20</f>
        <v>56.000000000000007</v>
      </c>
      <c r="AW28" s="14">
        <v>2.2000000000000002</v>
      </c>
      <c r="AX28" s="15">
        <f>AV28*AW28</f>
        <v>123.20000000000003</v>
      </c>
      <c r="AY28" s="53"/>
      <c r="AZ28" s="2"/>
    </row>
    <row r="29" spans="1:52" x14ac:dyDescent="0.2">
      <c r="A29" s="125"/>
      <c r="B29" s="129" t="s">
        <v>109</v>
      </c>
      <c r="C29" s="339">
        <v>198</v>
      </c>
      <c r="D29" s="329">
        <v>20</v>
      </c>
      <c r="E29" s="339" t="str">
        <f t="shared" si="14"/>
        <v>3,96 kg</v>
      </c>
      <c r="F29" s="329">
        <v>3</v>
      </c>
      <c r="G29" s="111"/>
      <c r="H29" s="354">
        <f t="shared" si="0"/>
        <v>0</v>
      </c>
      <c r="I29" s="105">
        <f t="shared" si="15"/>
        <v>48.637181938590672</v>
      </c>
      <c r="J29" s="140" t="s">
        <v>25</v>
      </c>
      <c r="K29" s="108">
        <f t="shared" si="25"/>
        <v>1.7999999999999998</v>
      </c>
      <c r="L29" s="103"/>
      <c r="M29" s="107">
        <f t="shared" si="2"/>
        <v>0</v>
      </c>
      <c r="N29" s="139"/>
      <c r="O29" s="165">
        <f t="shared" si="26"/>
        <v>0</v>
      </c>
      <c r="P29" s="103" t="s">
        <v>25</v>
      </c>
      <c r="Q29" s="142">
        <f t="shared" si="23"/>
        <v>3</v>
      </c>
      <c r="R29" s="135">
        <f t="shared" si="5"/>
        <v>53.437181938590669</v>
      </c>
      <c r="S29" s="145">
        <v>0.3</v>
      </c>
      <c r="T29" s="102">
        <f t="shared" si="16"/>
        <v>76.338831340843811</v>
      </c>
      <c r="U29" s="106">
        <v>0.02</v>
      </c>
      <c r="V29" s="107">
        <f t="shared" si="6"/>
        <v>4.1199997815828935</v>
      </c>
      <c r="W29" s="109">
        <v>0.1</v>
      </c>
      <c r="X29" s="108">
        <f t="shared" si="7"/>
        <v>20.599998907914468</v>
      </c>
      <c r="Y29" s="106">
        <v>0.12</v>
      </c>
      <c r="Z29" s="107">
        <f t="shared" si="8"/>
        <v>24.719998689497363</v>
      </c>
      <c r="AA29" s="314">
        <v>4.4999999999999998E-2</v>
      </c>
      <c r="AB29" s="132">
        <f t="shared" si="9"/>
        <v>9.2699995085615097</v>
      </c>
      <c r="AC29" s="152">
        <v>6.3E-2</v>
      </c>
      <c r="AD29" s="107">
        <f t="shared" si="17"/>
        <v>12.977999311986116</v>
      </c>
      <c r="AE29" s="109"/>
      <c r="AF29" s="108">
        <f t="shared" si="10"/>
        <v>0</v>
      </c>
      <c r="AG29" s="106"/>
      <c r="AH29" s="107">
        <f t="shared" si="11"/>
        <v>0</v>
      </c>
      <c r="AI29" s="109"/>
      <c r="AJ29" s="108">
        <f t="shared" si="12"/>
        <v>0</v>
      </c>
      <c r="AK29" s="185">
        <v>0.28142312918514473</v>
      </c>
      <c r="AL29" s="107">
        <f t="shared" si="13"/>
        <v>57.973161538758539</v>
      </c>
      <c r="AM29" s="135">
        <f t="shared" si="18"/>
        <v>193.79114682892256</v>
      </c>
      <c r="AN29" s="102">
        <f t="shared" si="19"/>
        <v>205.99998907914468</v>
      </c>
      <c r="AO29" s="105">
        <f t="shared" si="43"/>
        <v>10.299999453957234</v>
      </c>
      <c r="AP29" s="102"/>
      <c r="AQ29" s="1"/>
      <c r="AR29" s="406" t="s">
        <v>42</v>
      </c>
      <c r="AS29" s="407"/>
      <c r="AT29" s="6">
        <f>(AX23*0.004)/2</f>
        <v>0.4</v>
      </c>
      <c r="AU29" s="12">
        <f>AT29*5</f>
        <v>2</v>
      </c>
      <c r="AV29" s="13">
        <f>AT29*20</f>
        <v>8</v>
      </c>
      <c r="AW29" s="14">
        <v>140</v>
      </c>
      <c r="AX29" s="15">
        <f>AV29*AW29</f>
        <v>1120</v>
      </c>
      <c r="AY29" s="2"/>
      <c r="AZ29" s="2"/>
    </row>
    <row r="30" spans="1:52" x14ac:dyDescent="0.2">
      <c r="A30" s="125"/>
      <c r="B30" s="129" t="s">
        <v>100</v>
      </c>
      <c r="C30" s="339">
        <v>198</v>
      </c>
      <c r="D30" s="329">
        <v>20</v>
      </c>
      <c r="E30" s="339" t="str">
        <f t="shared" si="14"/>
        <v>3,96 kg</v>
      </c>
      <c r="F30" s="329">
        <v>4</v>
      </c>
      <c r="G30" s="111"/>
      <c r="H30" s="354">
        <f t="shared" si="0"/>
        <v>0</v>
      </c>
      <c r="I30" s="105">
        <f t="shared" si="15"/>
        <v>42.166122841661135</v>
      </c>
      <c r="J30" s="140" t="s">
        <v>25</v>
      </c>
      <c r="K30" s="108">
        <f t="shared" si="25"/>
        <v>1.7999999999999998</v>
      </c>
      <c r="L30" s="103"/>
      <c r="M30" s="107">
        <f t="shared" si="2"/>
        <v>0</v>
      </c>
      <c r="N30" s="139"/>
      <c r="O30" s="165">
        <f t="shared" si="26"/>
        <v>0</v>
      </c>
      <c r="P30" s="103" t="s">
        <v>25</v>
      </c>
      <c r="Q30" s="142">
        <f t="shared" si="23"/>
        <v>3</v>
      </c>
      <c r="R30" s="135">
        <f t="shared" si="5"/>
        <v>46.966122841661132</v>
      </c>
      <c r="S30" s="145">
        <v>0.3</v>
      </c>
      <c r="T30" s="102">
        <f t="shared" si="16"/>
        <v>67.094461202373054</v>
      </c>
      <c r="U30" s="106">
        <v>0.02</v>
      </c>
      <c r="V30" s="107">
        <f t="shared" si="6"/>
        <v>3.6399999266312766</v>
      </c>
      <c r="W30" s="109">
        <v>0.1</v>
      </c>
      <c r="X30" s="108">
        <f t="shared" si="7"/>
        <v>18.199999633156384</v>
      </c>
      <c r="Y30" s="106">
        <v>0.12</v>
      </c>
      <c r="Z30" s="107">
        <f t="shared" si="8"/>
        <v>21.83999955978766</v>
      </c>
      <c r="AA30" s="314">
        <v>4.4999999999999998E-2</v>
      </c>
      <c r="AB30" s="132">
        <f t="shared" si="9"/>
        <v>8.1899998349203731</v>
      </c>
      <c r="AC30" s="152">
        <v>6.3E-2</v>
      </c>
      <c r="AD30" s="107">
        <f t="shared" si="17"/>
        <v>11.465999768888521</v>
      </c>
      <c r="AE30" s="109"/>
      <c r="AF30" s="108">
        <f t="shared" si="10"/>
        <v>0</v>
      </c>
      <c r="AG30" s="106"/>
      <c r="AH30" s="107">
        <f t="shared" si="11"/>
        <v>0</v>
      </c>
      <c r="AI30" s="109"/>
      <c r="AJ30" s="108">
        <f t="shared" si="12"/>
        <v>0</v>
      </c>
      <c r="AK30" s="185">
        <v>0.28334910684205866</v>
      </c>
      <c r="AL30" s="107">
        <f t="shared" si="13"/>
        <v>51.569536405806566</v>
      </c>
      <c r="AM30" s="135">
        <f t="shared" si="18"/>
        <v>171.21354311529996</v>
      </c>
      <c r="AN30" s="102">
        <f t="shared" si="19"/>
        <v>181.99999633156384</v>
      </c>
      <c r="AO30" s="105">
        <f t="shared" si="43"/>
        <v>9.0999998165781921</v>
      </c>
      <c r="AP30" s="102"/>
      <c r="AQ30" s="1"/>
      <c r="AR30" s="421" t="s">
        <v>43</v>
      </c>
      <c r="AS30" s="422"/>
      <c r="AT30" s="20">
        <f>AX30/AX23/30</f>
        <v>0.52567297527706736</v>
      </c>
      <c r="AU30" s="21">
        <f>AT30*5</f>
        <v>2.6283648763853367</v>
      </c>
      <c r="AV30" s="22">
        <f>AT30*20</f>
        <v>10.513459505541347</v>
      </c>
      <c r="AW30" s="23">
        <f>AX30/AX23*AV30</f>
        <v>165.79924616198656</v>
      </c>
      <c r="AX30" s="24">
        <f>((AX26+AX27+AX28+AX29+AX31)/0.92)-(AX26+AX27+AX28+AX29+AX31)</f>
        <v>3154.0378516624041</v>
      </c>
      <c r="AY30" s="53"/>
      <c r="AZ30" s="2"/>
    </row>
    <row r="31" spans="1:52" ht="17" thickBot="1" x14ac:dyDescent="0.25">
      <c r="A31" s="125"/>
      <c r="B31" s="129" t="s">
        <v>101</v>
      </c>
      <c r="C31" s="339">
        <v>264</v>
      </c>
      <c r="D31" s="329">
        <v>20</v>
      </c>
      <c r="E31" s="339" t="str">
        <f t="shared" si="14"/>
        <v>5,28 kg</v>
      </c>
      <c r="F31" s="329">
        <v>4</v>
      </c>
      <c r="G31" s="111"/>
      <c r="H31" s="354">
        <f t="shared" si="0"/>
        <v>0</v>
      </c>
      <c r="I31" s="105">
        <f t="shared" si="15"/>
        <v>56.221497122214849</v>
      </c>
      <c r="J31" s="140" t="s">
        <v>25</v>
      </c>
      <c r="K31" s="108">
        <f t="shared" si="25"/>
        <v>1.7999999999999998</v>
      </c>
      <c r="L31" s="103"/>
      <c r="M31" s="107">
        <f t="shared" si="2"/>
        <v>0</v>
      </c>
      <c r="N31" s="139"/>
      <c r="O31" s="165">
        <f t="shared" si="26"/>
        <v>0</v>
      </c>
      <c r="P31" s="103" t="s">
        <v>25</v>
      </c>
      <c r="Q31" s="142">
        <f t="shared" si="23"/>
        <v>3</v>
      </c>
      <c r="R31" s="135">
        <f t="shared" si="5"/>
        <v>61.021497122214846</v>
      </c>
      <c r="S31" s="145">
        <v>0.3</v>
      </c>
      <c r="T31" s="102">
        <f t="shared" si="16"/>
        <v>87.17356731744978</v>
      </c>
      <c r="U31" s="106">
        <v>0.02</v>
      </c>
      <c r="V31" s="107">
        <f t="shared" si="6"/>
        <v>4.6999997038420194</v>
      </c>
      <c r="W31" s="109">
        <v>0.1</v>
      </c>
      <c r="X31" s="108">
        <f t="shared" si="7"/>
        <v>23.499998519210095</v>
      </c>
      <c r="Y31" s="106">
        <v>0.12</v>
      </c>
      <c r="Z31" s="107">
        <f t="shared" si="8"/>
        <v>28.199998223052113</v>
      </c>
      <c r="AA31" s="314">
        <v>4.4999999999999998E-2</v>
      </c>
      <c r="AB31" s="132">
        <f t="shared" si="9"/>
        <v>10.574999333644543</v>
      </c>
      <c r="AC31" s="152">
        <v>6.3E-2</v>
      </c>
      <c r="AD31" s="107">
        <f t="shared" si="17"/>
        <v>14.80499906710236</v>
      </c>
      <c r="AE31" s="109"/>
      <c r="AF31" s="108">
        <f t="shared" si="10"/>
        <v>0</v>
      </c>
      <c r="AG31" s="106"/>
      <c r="AH31" s="107">
        <f t="shared" si="11"/>
        <v>0</v>
      </c>
      <c r="AI31" s="109"/>
      <c r="AJ31" s="108">
        <f t="shared" si="12"/>
        <v>0</v>
      </c>
      <c r="AK31" s="185">
        <v>0.281048626338467</v>
      </c>
      <c r="AL31" s="107">
        <f t="shared" si="13"/>
        <v>66.04642302780006</v>
      </c>
      <c r="AM31" s="135">
        <f t="shared" si="18"/>
        <v>221.07242257017964</v>
      </c>
      <c r="AN31" s="102">
        <f t="shared" si="19"/>
        <v>234.99998519210095</v>
      </c>
      <c r="AO31" s="105">
        <f t="shared" si="43"/>
        <v>11.749999259605048</v>
      </c>
      <c r="AP31" s="102"/>
      <c r="AQ31" s="1"/>
      <c r="AR31" s="408" t="s">
        <v>44</v>
      </c>
      <c r="AS31" s="409"/>
      <c r="AT31" s="25"/>
      <c r="AU31" s="25"/>
      <c r="AV31" s="26"/>
      <c r="AW31" s="27"/>
      <c r="AX31" s="28">
        <f>(AX23*20)*0.5</f>
        <v>2000</v>
      </c>
      <c r="AY31" s="2"/>
      <c r="AZ31" s="2"/>
    </row>
    <row r="32" spans="1:52" ht="17" thickBot="1" x14ac:dyDescent="0.25">
      <c r="A32" s="125"/>
      <c r="B32" s="171" t="s">
        <v>117</v>
      </c>
      <c r="C32" s="338">
        <v>1000</v>
      </c>
      <c r="D32" s="328">
        <v>1</v>
      </c>
      <c r="E32" s="338" t="str">
        <f t="shared" si="14"/>
        <v>1 kg</v>
      </c>
      <c r="F32" s="328">
        <v>1</v>
      </c>
      <c r="G32" s="172"/>
      <c r="H32" s="353">
        <f t="shared" si="0"/>
        <v>0</v>
      </c>
      <c r="I32" s="179">
        <f t="shared" si="15"/>
        <v>10.075398692810456</v>
      </c>
      <c r="J32" s="173"/>
      <c r="K32" s="181">
        <f t="shared" si="25"/>
        <v>0</v>
      </c>
      <c r="L32" s="175" t="s">
        <v>25</v>
      </c>
      <c r="M32" s="174">
        <f t="shared" si="2"/>
        <v>1.1499999999999999</v>
      </c>
      <c r="N32" s="176"/>
      <c r="O32" s="165">
        <f t="shared" si="26"/>
        <v>0</v>
      </c>
      <c r="P32" s="175" t="s">
        <v>25</v>
      </c>
      <c r="Q32" s="174">
        <f t="shared" si="23"/>
        <v>4</v>
      </c>
      <c r="R32" s="177">
        <f t="shared" si="5"/>
        <v>15.225398692810456</v>
      </c>
      <c r="S32" s="178">
        <v>0.3</v>
      </c>
      <c r="T32" s="186">
        <f t="shared" si="16"/>
        <v>21.750569561157796</v>
      </c>
      <c r="U32" s="180">
        <v>0.02</v>
      </c>
      <c r="V32" s="174">
        <f t="shared" si="6"/>
        <v>1.1699956927099664</v>
      </c>
      <c r="W32" s="184">
        <v>0.1</v>
      </c>
      <c r="X32" s="181">
        <f t="shared" si="7"/>
        <v>5.8499784635498315</v>
      </c>
      <c r="Y32" s="180">
        <v>0.12</v>
      </c>
      <c r="Z32" s="174">
        <f t="shared" si="8"/>
        <v>7.0199741562597975</v>
      </c>
      <c r="AA32" s="313">
        <v>4.4999999999999998E-2</v>
      </c>
      <c r="AB32" s="183">
        <f t="shared" si="9"/>
        <v>2.6324903085974243</v>
      </c>
      <c r="AC32" s="182">
        <v>6.3E-2</v>
      </c>
      <c r="AD32" s="174">
        <f t="shared" si="17"/>
        <v>3.6854864320363938</v>
      </c>
      <c r="AE32" s="184"/>
      <c r="AF32" s="181">
        <f t="shared" si="10"/>
        <v>0</v>
      </c>
      <c r="AG32" s="180"/>
      <c r="AH32" s="174">
        <f t="shared" si="11"/>
        <v>0</v>
      </c>
      <c r="AI32" s="184"/>
      <c r="AJ32" s="181">
        <f t="shared" si="12"/>
        <v>0</v>
      </c>
      <c r="AK32" s="185">
        <v>0.28019402333390286</v>
      </c>
      <c r="AL32" s="174">
        <f t="shared" si="13"/>
        <v>16.391290021187107</v>
      </c>
      <c r="AM32" s="177">
        <f t="shared" si="18"/>
        <v>55.032723081371891</v>
      </c>
      <c r="AN32" s="186">
        <f t="shared" si="19"/>
        <v>58.499784635498315</v>
      </c>
      <c r="AO32" s="179">
        <f t="shared" si="43"/>
        <v>58.499784635498315</v>
      </c>
      <c r="AP32" s="186"/>
      <c r="AQ32" s="1"/>
      <c r="AR32" s="449" t="s">
        <v>45</v>
      </c>
      <c r="AS32" s="450"/>
      <c r="AT32" s="29">
        <v>0.1</v>
      </c>
      <c r="AU32" s="30"/>
      <c r="AV32" s="31"/>
      <c r="AW32" s="19"/>
      <c r="AX32" s="32">
        <f>SUM(AX26:AX31)</f>
        <v>39425.473145780052</v>
      </c>
      <c r="AY32" s="2"/>
      <c r="AZ32" s="2"/>
    </row>
    <row r="33" spans="1:52" x14ac:dyDescent="0.2">
      <c r="A33" s="125"/>
      <c r="B33" s="171" t="s">
        <v>119</v>
      </c>
      <c r="C33" s="338">
        <v>1000</v>
      </c>
      <c r="D33" s="328">
        <v>1</v>
      </c>
      <c r="E33" s="338" t="str">
        <f t="shared" ref="E33:E34" si="44">CONCATENATE((C33*D33)/1000," kg")</f>
        <v>1 kg</v>
      </c>
      <c r="F33" s="328">
        <v>2</v>
      </c>
      <c r="G33" s="172"/>
      <c r="H33" s="353">
        <f t="shared" ref="H33:H34" si="45">(IF(F33=1,0,IF(F33=2,0,IF(F33=3,0,IF(F33=4,0,IF(F33=5,IF(G33=1,$AT$107,IF(G33=2,$AT$108,IF(G33=3,$AT$109,IF(G33=4,$AT$110)))),IF(F33=6,IF(G33=1,$AT$107,IF(G33=2,$AT$108,IF(G33=3,$AT$109,IF(G33=4,$AT$110))))))))))/1000*C33*D33)</f>
        <v>0</v>
      </c>
      <c r="I33" s="179">
        <f t="shared" si="15"/>
        <v>9.8563682864450133</v>
      </c>
      <c r="J33" s="173"/>
      <c r="K33" s="181">
        <f t="shared" si="25"/>
        <v>0</v>
      </c>
      <c r="L33" s="175" t="s">
        <v>25</v>
      </c>
      <c r="M33" s="174">
        <f t="shared" ref="M33:M34" si="46">IF(L33="S",IF(F33=1,$AT$17,IF(F33=2,$AT$33,IF(F33=3,$AT$50,IF(F33=4,$AT$67,IF(F33=5,$AT$84,IF(F33=6,$AT$101,IF(F33=7,$AX$115,IF(F33=8,$AX$115))))))))*$D33,0)</f>
        <v>1.1599999999999999</v>
      </c>
      <c r="N33" s="176"/>
      <c r="O33" s="165">
        <f t="shared" si="26"/>
        <v>0</v>
      </c>
      <c r="P33" s="175" t="s">
        <v>25</v>
      </c>
      <c r="Q33" s="174">
        <f t="shared" si="23"/>
        <v>4</v>
      </c>
      <c r="R33" s="177">
        <f t="shared" si="5"/>
        <v>15.016368286445013</v>
      </c>
      <c r="S33" s="178">
        <v>0.3</v>
      </c>
      <c r="T33" s="186">
        <f t="shared" ref="T33" si="47">R33/(1-S33)</f>
        <v>21.451954694921451</v>
      </c>
      <c r="U33" s="180">
        <v>0.02</v>
      </c>
      <c r="V33" s="174">
        <f t="shared" ref="V33:V34" si="48">U33*AN33</f>
        <v>1.16999497000703</v>
      </c>
      <c r="W33" s="184">
        <v>0.1</v>
      </c>
      <c r="X33" s="181">
        <f t="shared" ref="X33:X34" si="49">W33*AN33</f>
        <v>5.8499748500351494</v>
      </c>
      <c r="Y33" s="180">
        <v>0.12</v>
      </c>
      <c r="Z33" s="174">
        <f t="shared" ref="Z33:Z34" si="50">Y33*AN33</f>
        <v>7.0199698200421787</v>
      </c>
      <c r="AA33" s="313">
        <v>4.4999999999999998E-2</v>
      </c>
      <c r="AB33" s="183">
        <f t="shared" ref="AB33:AB34" si="51">AA33*AN33</f>
        <v>2.6324886825158171</v>
      </c>
      <c r="AC33" s="182">
        <v>6.3E-2</v>
      </c>
      <c r="AD33" s="174">
        <f t="shared" ref="AD33" si="52">AN33*AC33</f>
        <v>3.6854841555221443</v>
      </c>
      <c r="AE33" s="184"/>
      <c r="AF33" s="181">
        <f t="shared" ref="AF33:AF34" si="53">AE33*AN33</f>
        <v>0</v>
      </c>
      <c r="AG33" s="180"/>
      <c r="AH33" s="174">
        <f t="shared" ref="AH33:AH34" si="54">AG33*AN33</f>
        <v>0</v>
      </c>
      <c r="AI33" s="184"/>
      <c r="AJ33" s="181">
        <f t="shared" ref="AJ33:AJ34" si="55">AI33*AN33</f>
        <v>0</v>
      </c>
      <c r="AK33" s="185">
        <v>0.28529834324343195</v>
      </c>
      <c r="AL33" s="174">
        <f t="shared" ref="AL33:AL34" si="56">AK33*AN33</f>
        <v>16.689881327307724</v>
      </c>
      <c r="AM33" s="177">
        <f t="shared" ref="AM33" si="57">AN33/(1+AC33)</f>
        <v>55.032689087818909</v>
      </c>
      <c r="AN33" s="186">
        <f t="shared" ref="AN33" si="58">T33/(1-(IF(U33&gt;0,U33,0)+IF(W33&gt;0,W33,0)+IF(Y33&gt;0,Y33,0)+IF(AA33&gt;0,AA33,0)+IF(AC33&gt;0,AC33,0)+IF(AE33&gt;0,AE33,0)+IF(AG33&gt;0,AG33,0)+IF(AI33&gt;0,AI33,0)+IF(AK33&gt;0,AK33,0)))</f>
        <v>58.499748500351494</v>
      </c>
      <c r="AO33" s="179">
        <f t="shared" ref="AO33:AO34" si="59">AN33/D33</f>
        <v>58.499748500351494</v>
      </c>
      <c r="AP33" s="186"/>
      <c r="AQ33" s="1"/>
      <c r="AR33" s="421" t="s">
        <v>46</v>
      </c>
      <c r="AS33" s="422"/>
      <c r="AT33" s="15">
        <v>1.1599999999999999</v>
      </c>
      <c r="AU33" s="30"/>
      <c r="AV33" s="31"/>
      <c r="AW33" s="19"/>
      <c r="AX33" s="148"/>
      <c r="AY33" s="2"/>
      <c r="AZ33" s="2"/>
    </row>
    <row r="34" spans="1:52" ht="17" thickBot="1" x14ac:dyDescent="0.25">
      <c r="A34" s="125"/>
      <c r="B34" s="171" t="s">
        <v>120</v>
      </c>
      <c r="C34" s="338">
        <v>1000</v>
      </c>
      <c r="D34" s="328">
        <v>1</v>
      </c>
      <c r="E34" s="338" t="str">
        <f t="shared" si="44"/>
        <v>1 kg</v>
      </c>
      <c r="F34" s="328">
        <v>1</v>
      </c>
      <c r="G34" s="172"/>
      <c r="H34" s="353">
        <f t="shared" si="45"/>
        <v>0</v>
      </c>
      <c r="I34" s="179">
        <f t="shared" si="15"/>
        <v>10.075398692810456</v>
      </c>
      <c r="J34" s="173"/>
      <c r="K34" s="181">
        <f t="shared" si="25"/>
        <v>0</v>
      </c>
      <c r="L34" s="175" t="s">
        <v>25</v>
      </c>
      <c r="M34" s="174">
        <f t="shared" si="46"/>
        <v>1.1499999999999999</v>
      </c>
      <c r="N34" s="176"/>
      <c r="O34" s="165">
        <f t="shared" si="26"/>
        <v>0</v>
      </c>
      <c r="P34" s="175" t="s">
        <v>25</v>
      </c>
      <c r="Q34" s="174">
        <f t="shared" si="23"/>
        <v>4</v>
      </c>
      <c r="R34" s="177">
        <f t="shared" si="5"/>
        <v>15.225398692810456</v>
      </c>
      <c r="S34" s="178">
        <v>0.3</v>
      </c>
      <c r="T34" s="186">
        <f t="shared" ref="T34" si="60">R34/(1-S34)</f>
        <v>21.750569561157796</v>
      </c>
      <c r="U34" s="180">
        <v>0.02</v>
      </c>
      <c r="V34" s="174">
        <f t="shared" si="48"/>
        <v>1.1699956927099664</v>
      </c>
      <c r="W34" s="184">
        <v>0.1</v>
      </c>
      <c r="X34" s="181">
        <f t="shared" si="49"/>
        <v>5.8499784635498315</v>
      </c>
      <c r="Y34" s="180">
        <v>0.12</v>
      </c>
      <c r="Z34" s="174">
        <f t="shared" si="50"/>
        <v>7.0199741562597975</v>
      </c>
      <c r="AA34" s="313">
        <v>4.4999999999999998E-2</v>
      </c>
      <c r="AB34" s="183">
        <f t="shared" si="51"/>
        <v>2.6324903085974243</v>
      </c>
      <c r="AC34" s="182">
        <v>6.3E-2</v>
      </c>
      <c r="AD34" s="174">
        <f t="shared" ref="AD34" si="61">AN34*AC34</f>
        <v>3.6854864320363938</v>
      </c>
      <c r="AE34" s="184"/>
      <c r="AF34" s="181">
        <f t="shared" si="53"/>
        <v>0</v>
      </c>
      <c r="AG34" s="180"/>
      <c r="AH34" s="174">
        <f t="shared" si="54"/>
        <v>0</v>
      </c>
      <c r="AI34" s="184"/>
      <c r="AJ34" s="181">
        <f t="shared" si="55"/>
        <v>0</v>
      </c>
      <c r="AK34" s="185">
        <v>0.28019402333390286</v>
      </c>
      <c r="AL34" s="174">
        <f t="shared" si="56"/>
        <v>16.391290021187107</v>
      </c>
      <c r="AM34" s="177">
        <f t="shared" ref="AM34" si="62">AN34/(1+AC34)</f>
        <v>55.032723081371891</v>
      </c>
      <c r="AN34" s="186">
        <f t="shared" ref="AN34" si="63">T34/(1-(IF(U34&gt;0,U34,0)+IF(W34&gt;0,W34,0)+IF(Y34&gt;0,Y34,0)+IF(AA34&gt;0,AA34,0)+IF(AC34&gt;0,AC34,0)+IF(AE34&gt;0,AE34,0)+IF(AG34&gt;0,AG34,0)+IF(AI34&gt;0,AI34,0)+IF(AK34&gt;0,AK34,0)))</f>
        <v>58.499784635498315</v>
      </c>
      <c r="AO34" s="179">
        <f t="shared" si="59"/>
        <v>58.499784635498315</v>
      </c>
      <c r="AP34" s="186"/>
      <c r="AQ34" s="1"/>
      <c r="AR34" s="146"/>
      <c r="AS34" s="147" t="s">
        <v>103</v>
      </c>
      <c r="AT34" s="24">
        <v>1.4</v>
      </c>
      <c r="AU34" s="30"/>
      <c r="AV34" s="31"/>
      <c r="AW34" s="19"/>
      <c r="AX34" s="19"/>
      <c r="AY34" s="2"/>
      <c r="AZ34" s="2"/>
    </row>
    <row r="35" spans="1:52" ht="17" thickBot="1" x14ac:dyDescent="0.25">
      <c r="A35" s="125"/>
      <c r="B35" s="171" t="s">
        <v>110</v>
      </c>
      <c r="C35" s="338">
        <v>1000</v>
      </c>
      <c r="D35" s="328">
        <v>1</v>
      </c>
      <c r="E35" s="338" t="str">
        <f>CONCATENATE((C35*D35)/1000," kg")</f>
        <v>1 kg</v>
      </c>
      <c r="F35" s="328">
        <v>2</v>
      </c>
      <c r="G35" s="172"/>
      <c r="H35" s="353">
        <f>(IF(F35=1,0,IF(F35=2,0,IF(F35=3,0,IF(F35=4,0,IF(F35=5,IF(G35=1,$AT$107,IF(G35=2,$AT$108,IF(G35=3,$AT$109,IF(G35=4,$AT$110)))),IF(F35=6,IF(G35=1,$AT$107,IF(G35=2,$AT$108,IF(G35=3,$AT$109,IF(G35=4,$AT$110))))))))))/1000*C35*D35)</f>
        <v>0</v>
      </c>
      <c r="I35" s="179">
        <f t="shared" si="15"/>
        <v>9.8563682864450133</v>
      </c>
      <c r="J35" s="173"/>
      <c r="K35" s="181">
        <f t="shared" si="25"/>
        <v>0</v>
      </c>
      <c r="L35" s="175" t="s">
        <v>25</v>
      </c>
      <c r="M35" s="174">
        <f>IF(L35="S",IF(F35=1,$AT$17,IF(F35=2,$AT$33,IF(F35=3,$AT$50,IF(F35=4,$AT$67,IF(F35=5,$AT$84,IF(F35=6,$AT$101,IF(F35=7,$AX$115,IF(F35=8,$AX$115))))))))*$D35,0)</f>
        <v>1.1599999999999999</v>
      </c>
      <c r="N35" s="176"/>
      <c r="O35" s="165">
        <f t="shared" si="26"/>
        <v>0</v>
      </c>
      <c r="P35" s="175" t="s">
        <v>25</v>
      </c>
      <c r="Q35" s="174">
        <f t="shared" si="23"/>
        <v>4</v>
      </c>
      <c r="R35" s="177">
        <f t="shared" si="5"/>
        <v>15.016368286445013</v>
      </c>
      <c r="S35" s="178">
        <v>0.3</v>
      </c>
      <c r="T35" s="186">
        <f>R35/(1-S35)</f>
        <v>21.451954694921451</v>
      </c>
      <c r="U35" s="180">
        <v>0.02</v>
      </c>
      <c r="V35" s="174">
        <f>U35*AN35</f>
        <v>1.16999497000703</v>
      </c>
      <c r="W35" s="184">
        <v>0.1</v>
      </c>
      <c r="X35" s="181">
        <f>W35*AN35</f>
        <v>5.8499748500351494</v>
      </c>
      <c r="Y35" s="180">
        <v>0.12</v>
      </c>
      <c r="Z35" s="174">
        <f>Y35*AN35</f>
        <v>7.0199698200421787</v>
      </c>
      <c r="AA35" s="313">
        <v>4.4999999999999998E-2</v>
      </c>
      <c r="AB35" s="183">
        <f>AA35*AN35</f>
        <v>2.6324886825158171</v>
      </c>
      <c r="AC35" s="182">
        <v>6.3E-2</v>
      </c>
      <c r="AD35" s="174">
        <f>AN35*AC35</f>
        <v>3.6854841555221443</v>
      </c>
      <c r="AE35" s="184"/>
      <c r="AF35" s="181">
        <f>AE35*AN35</f>
        <v>0</v>
      </c>
      <c r="AG35" s="180"/>
      <c r="AH35" s="174">
        <f>AG35*AN35</f>
        <v>0</v>
      </c>
      <c r="AI35" s="184"/>
      <c r="AJ35" s="181">
        <f>AI35*AN35</f>
        <v>0</v>
      </c>
      <c r="AK35" s="185">
        <v>0.28529834324343195</v>
      </c>
      <c r="AL35" s="174">
        <f>AK35*AN35</f>
        <v>16.689881327307724</v>
      </c>
      <c r="AM35" s="177">
        <f>AN35/(1+AC35)</f>
        <v>55.032689087818909</v>
      </c>
      <c r="AN35" s="186">
        <f>T35/(1-(IF(U35&gt;0,U35,0)+IF(W35&gt;0,W35,0)+IF(Y35&gt;0,Y35,0)+IF(AA35&gt;0,AA35,0)+IF(AC35&gt;0,AC35,0)+IF(AE35&gt;0,AE35,0)+IF(AG35&gt;0,AG35,0)+IF(AI35&gt;0,AI35,0)+IF(AK35&gt;0,AK35,0)))</f>
        <v>58.499748500351494</v>
      </c>
      <c r="AO35" s="179">
        <f>AN35/D35</f>
        <v>58.499748500351494</v>
      </c>
      <c r="AP35" s="186"/>
      <c r="AQ35" s="1"/>
      <c r="AR35" s="408" t="s">
        <v>47</v>
      </c>
      <c r="AS35" s="409"/>
      <c r="AT35" s="34">
        <v>4</v>
      </c>
      <c r="AU35" s="30"/>
      <c r="AV35" s="31"/>
      <c r="AW35" s="52" t="s">
        <v>48</v>
      </c>
      <c r="AX35" s="149">
        <f>AX32/(AX23*20)</f>
        <v>9.8563682864450133</v>
      </c>
      <c r="AY35" s="2"/>
      <c r="AZ35" s="2"/>
    </row>
    <row r="36" spans="1:52" x14ac:dyDescent="0.2">
      <c r="A36" s="125"/>
      <c r="B36" s="129" t="s">
        <v>111</v>
      </c>
      <c r="C36" s="339">
        <v>198</v>
      </c>
      <c r="D36" s="329">
        <v>20</v>
      </c>
      <c r="E36" s="339" t="str">
        <f t="shared" si="14"/>
        <v>3,96 kg</v>
      </c>
      <c r="F36" s="329">
        <v>1</v>
      </c>
      <c r="G36" s="111"/>
      <c r="H36" s="354">
        <f t="shared" si="0"/>
        <v>0</v>
      </c>
      <c r="I36" s="105">
        <f t="shared" si="15"/>
        <v>39.898578823529405</v>
      </c>
      <c r="J36" s="140" t="s">
        <v>25</v>
      </c>
      <c r="K36" s="108">
        <f t="shared" si="25"/>
        <v>1.7999999999999998</v>
      </c>
      <c r="L36" s="103"/>
      <c r="M36" s="107">
        <f t="shared" si="2"/>
        <v>0</v>
      </c>
      <c r="N36" s="139"/>
      <c r="O36" s="165">
        <f t="shared" si="26"/>
        <v>0</v>
      </c>
      <c r="P36" s="103" t="s">
        <v>25</v>
      </c>
      <c r="Q36" s="142">
        <f t="shared" si="23"/>
        <v>4</v>
      </c>
      <c r="R36" s="135">
        <f t="shared" si="5"/>
        <v>45.698578823529402</v>
      </c>
      <c r="S36" s="145">
        <v>0.3</v>
      </c>
      <c r="T36" s="102">
        <f t="shared" si="16"/>
        <v>65.28368403361344</v>
      </c>
      <c r="U36" s="106">
        <v>0.02</v>
      </c>
      <c r="V36" s="107">
        <f t="shared" si="6"/>
        <v>3.5099990671465338</v>
      </c>
      <c r="W36" s="109">
        <v>0.1</v>
      </c>
      <c r="X36" s="108">
        <f t="shared" si="7"/>
        <v>17.549995335732671</v>
      </c>
      <c r="Y36" s="106">
        <v>0.12</v>
      </c>
      <c r="Z36" s="107">
        <f t="shared" si="8"/>
        <v>21.059994402879202</v>
      </c>
      <c r="AA36" s="314">
        <v>4.4999999999999998E-2</v>
      </c>
      <c r="AB36" s="132">
        <f t="shared" si="9"/>
        <v>7.8974979010797011</v>
      </c>
      <c r="AC36" s="152">
        <v>6.3E-2</v>
      </c>
      <c r="AD36" s="107">
        <f t="shared" si="17"/>
        <v>11.056497061511582</v>
      </c>
      <c r="AE36" s="109"/>
      <c r="AF36" s="108">
        <f t="shared" si="10"/>
        <v>0</v>
      </c>
      <c r="AG36" s="106"/>
      <c r="AH36" s="107">
        <f t="shared" si="11"/>
        <v>0</v>
      </c>
      <c r="AI36" s="109"/>
      <c r="AJ36" s="108">
        <f t="shared" si="12"/>
        <v>0</v>
      </c>
      <c r="AK36" s="110">
        <v>0.28001309752662668</v>
      </c>
      <c r="AL36" s="107">
        <f t="shared" si="13"/>
        <v>49.14228555536355</v>
      </c>
      <c r="AM36" s="135">
        <f t="shared" si="18"/>
        <v>165.09873316775796</v>
      </c>
      <c r="AN36" s="102">
        <f t="shared" si="19"/>
        <v>175.49995335732669</v>
      </c>
      <c r="AO36" s="105">
        <f t="shared" si="43"/>
        <v>8.7749976678663337</v>
      </c>
      <c r="AP36" s="102"/>
      <c r="AQ36" s="1"/>
      <c r="AR36" s="2"/>
      <c r="AS36" s="2"/>
      <c r="AT36" s="2"/>
      <c r="AU36" s="30"/>
      <c r="AV36" s="31"/>
      <c r="AW36" s="19"/>
      <c r="AX36" s="31"/>
      <c r="AY36" s="2"/>
      <c r="AZ36" s="2"/>
    </row>
    <row r="37" spans="1:52" ht="17" thickBot="1" x14ac:dyDescent="0.25">
      <c r="A37" s="125"/>
      <c r="B37" s="129" t="s">
        <v>112</v>
      </c>
      <c r="C37" s="339">
        <v>198</v>
      </c>
      <c r="D37" s="329">
        <v>20</v>
      </c>
      <c r="E37" s="339" t="str">
        <f t="shared" si="14"/>
        <v>3,96 kg</v>
      </c>
      <c r="F37" s="329">
        <v>2</v>
      </c>
      <c r="G37" s="111"/>
      <c r="H37" s="354">
        <f t="shared" si="0"/>
        <v>0</v>
      </c>
      <c r="I37" s="105">
        <f t="shared" si="15"/>
        <v>39.031218414322247</v>
      </c>
      <c r="J37" s="140" t="s">
        <v>25</v>
      </c>
      <c r="K37" s="108">
        <f t="shared" si="25"/>
        <v>2</v>
      </c>
      <c r="L37" s="103"/>
      <c r="M37" s="107">
        <f t="shared" si="2"/>
        <v>0</v>
      </c>
      <c r="N37" s="139"/>
      <c r="O37" s="165">
        <f t="shared" si="26"/>
        <v>0</v>
      </c>
      <c r="P37" s="103" t="s">
        <v>25</v>
      </c>
      <c r="Q37" s="142">
        <f t="shared" si="23"/>
        <v>4</v>
      </c>
      <c r="R37" s="135">
        <f t="shared" si="5"/>
        <v>45.031218414322247</v>
      </c>
      <c r="S37" s="145">
        <v>0.3</v>
      </c>
      <c r="T37" s="102">
        <f t="shared" si="16"/>
        <v>64.330312020460354</v>
      </c>
      <c r="U37" s="106">
        <v>0.02</v>
      </c>
      <c r="V37" s="107">
        <f t="shared" si="6"/>
        <v>3.4599901482447497</v>
      </c>
      <c r="W37" s="109">
        <v>0.1</v>
      </c>
      <c r="X37" s="108">
        <f t="shared" si="7"/>
        <v>17.29995074122375</v>
      </c>
      <c r="Y37" s="106">
        <v>0.12</v>
      </c>
      <c r="Z37" s="107">
        <f t="shared" si="8"/>
        <v>20.759940889468496</v>
      </c>
      <c r="AA37" s="314">
        <v>4.4999999999999998E-2</v>
      </c>
      <c r="AB37" s="132">
        <f t="shared" si="9"/>
        <v>7.7849778335506858</v>
      </c>
      <c r="AC37" s="152">
        <v>6.3E-2</v>
      </c>
      <c r="AD37" s="107">
        <f t="shared" si="17"/>
        <v>10.898968966970962</v>
      </c>
      <c r="AE37" s="109"/>
      <c r="AF37" s="108">
        <f t="shared" si="10"/>
        <v>0</v>
      </c>
      <c r="AG37" s="106"/>
      <c r="AH37" s="107">
        <f t="shared" si="11"/>
        <v>0</v>
      </c>
      <c r="AI37" s="109"/>
      <c r="AJ37" s="108">
        <f t="shared" si="12"/>
        <v>0</v>
      </c>
      <c r="AK37" s="110">
        <v>0.2801474266445812</v>
      </c>
      <c r="AL37" s="107">
        <f t="shared" si="13"/>
        <v>48.465366812318479</v>
      </c>
      <c r="AM37" s="135">
        <f t="shared" si="18"/>
        <v>162.74647922129586</v>
      </c>
      <c r="AN37" s="102">
        <f t="shared" si="19"/>
        <v>172.99950741223748</v>
      </c>
      <c r="AO37" s="105">
        <f t="shared" si="43"/>
        <v>8.6499753706118732</v>
      </c>
      <c r="AP37" s="102"/>
      <c r="AQ37" s="35"/>
      <c r="AR37" s="3"/>
      <c r="AS37" s="3"/>
      <c r="AT37" s="30"/>
      <c r="AU37" s="30"/>
      <c r="AV37" s="31"/>
      <c r="AW37" s="19"/>
      <c r="AX37" s="31"/>
      <c r="AY37" s="2"/>
      <c r="AZ37" s="2"/>
    </row>
    <row r="38" spans="1:52" ht="17" thickBot="1" x14ac:dyDescent="0.25">
      <c r="A38" s="125"/>
      <c r="B38" s="129" t="s">
        <v>113</v>
      </c>
      <c r="C38" s="339">
        <v>198</v>
      </c>
      <c r="D38" s="329">
        <v>20</v>
      </c>
      <c r="E38" s="339" t="str">
        <f t="shared" si="14"/>
        <v>3,96 kg</v>
      </c>
      <c r="F38" s="329">
        <v>1</v>
      </c>
      <c r="G38" s="111"/>
      <c r="H38" s="354">
        <f t="shared" si="0"/>
        <v>0</v>
      </c>
      <c r="I38" s="105">
        <f t="shared" si="15"/>
        <v>39.898578823529405</v>
      </c>
      <c r="J38" s="140" t="s">
        <v>25</v>
      </c>
      <c r="K38" s="108">
        <f t="shared" si="25"/>
        <v>1.7999999999999998</v>
      </c>
      <c r="L38" s="103"/>
      <c r="M38" s="107">
        <f t="shared" si="2"/>
        <v>0</v>
      </c>
      <c r="N38" s="139"/>
      <c r="O38" s="165">
        <f t="shared" si="26"/>
        <v>0</v>
      </c>
      <c r="P38" s="103" t="s">
        <v>25</v>
      </c>
      <c r="Q38" s="142">
        <f t="shared" si="23"/>
        <v>4</v>
      </c>
      <c r="R38" s="135">
        <f t="shared" si="5"/>
        <v>45.698578823529402</v>
      </c>
      <c r="S38" s="145">
        <v>0.3</v>
      </c>
      <c r="T38" s="102">
        <f t="shared" si="16"/>
        <v>65.28368403361344</v>
      </c>
      <c r="U38" s="106">
        <v>0.02</v>
      </c>
      <c r="V38" s="107">
        <f t="shared" si="6"/>
        <v>3.5099990671465338</v>
      </c>
      <c r="W38" s="109">
        <v>0.1</v>
      </c>
      <c r="X38" s="108">
        <f t="shared" si="7"/>
        <v>17.549995335732671</v>
      </c>
      <c r="Y38" s="106">
        <v>0.12</v>
      </c>
      <c r="Z38" s="107">
        <f t="shared" si="8"/>
        <v>21.059994402879202</v>
      </c>
      <c r="AA38" s="314">
        <v>4.4999999999999998E-2</v>
      </c>
      <c r="AB38" s="132">
        <f t="shared" si="9"/>
        <v>7.8974979010797011</v>
      </c>
      <c r="AC38" s="152">
        <v>6.3E-2</v>
      </c>
      <c r="AD38" s="107">
        <f t="shared" si="17"/>
        <v>11.056497061511582</v>
      </c>
      <c r="AE38" s="109"/>
      <c r="AF38" s="108">
        <f t="shared" si="10"/>
        <v>0</v>
      </c>
      <c r="AG38" s="106"/>
      <c r="AH38" s="107">
        <f t="shared" si="11"/>
        <v>0</v>
      </c>
      <c r="AI38" s="109"/>
      <c r="AJ38" s="108">
        <f t="shared" si="12"/>
        <v>0</v>
      </c>
      <c r="AK38" s="110">
        <v>0.28001309752662668</v>
      </c>
      <c r="AL38" s="107">
        <f t="shared" si="13"/>
        <v>49.14228555536355</v>
      </c>
      <c r="AM38" s="135">
        <f t="shared" si="18"/>
        <v>165.09873316775796</v>
      </c>
      <c r="AN38" s="102">
        <f t="shared" si="19"/>
        <v>175.49995335732669</v>
      </c>
      <c r="AO38" s="105">
        <f t="shared" si="43"/>
        <v>8.7749976678663337</v>
      </c>
      <c r="AP38" s="102"/>
      <c r="AQ38" s="35"/>
      <c r="AR38" s="413" t="s">
        <v>50</v>
      </c>
      <c r="AS38" s="414"/>
      <c r="AT38" s="414"/>
      <c r="AU38" s="414"/>
      <c r="AV38" s="414"/>
      <c r="AW38" s="414"/>
      <c r="AX38" s="415"/>
      <c r="AY38" s="2"/>
      <c r="AZ38" s="2"/>
    </row>
    <row r="39" spans="1:52" ht="17" thickBot="1" x14ac:dyDescent="0.25">
      <c r="A39" s="125"/>
      <c r="B39" s="129" t="s">
        <v>114</v>
      </c>
      <c r="C39" s="339">
        <v>198</v>
      </c>
      <c r="D39" s="329">
        <v>20</v>
      </c>
      <c r="E39" s="339" t="str">
        <f t="shared" si="14"/>
        <v>3,96 kg</v>
      </c>
      <c r="F39" s="329">
        <v>2</v>
      </c>
      <c r="G39" s="111"/>
      <c r="H39" s="354">
        <f t="shared" si="0"/>
        <v>0</v>
      </c>
      <c r="I39" s="105">
        <f t="shared" si="15"/>
        <v>39.031218414322247</v>
      </c>
      <c r="J39" s="140" t="s">
        <v>25</v>
      </c>
      <c r="K39" s="108">
        <f t="shared" si="25"/>
        <v>2</v>
      </c>
      <c r="L39" s="103"/>
      <c r="M39" s="107">
        <f t="shared" si="2"/>
        <v>0</v>
      </c>
      <c r="N39" s="139"/>
      <c r="O39" s="165">
        <f t="shared" si="26"/>
        <v>0</v>
      </c>
      <c r="P39" s="103" t="s">
        <v>25</v>
      </c>
      <c r="Q39" s="142">
        <f t="shared" si="23"/>
        <v>4</v>
      </c>
      <c r="R39" s="135">
        <f t="shared" si="5"/>
        <v>45.031218414322247</v>
      </c>
      <c r="S39" s="145">
        <v>0.3</v>
      </c>
      <c r="T39" s="102">
        <f t="shared" si="16"/>
        <v>64.330312020460354</v>
      </c>
      <c r="U39" s="106">
        <v>0.02</v>
      </c>
      <c r="V39" s="107">
        <f t="shared" si="6"/>
        <v>3.4599901482447497</v>
      </c>
      <c r="W39" s="109">
        <v>0.1</v>
      </c>
      <c r="X39" s="108">
        <f t="shared" si="7"/>
        <v>17.29995074122375</v>
      </c>
      <c r="Y39" s="106">
        <v>0.12</v>
      </c>
      <c r="Z39" s="107">
        <f t="shared" si="8"/>
        <v>20.759940889468496</v>
      </c>
      <c r="AA39" s="314">
        <v>4.4999999999999998E-2</v>
      </c>
      <c r="AB39" s="132">
        <f t="shared" si="9"/>
        <v>7.7849778335506858</v>
      </c>
      <c r="AC39" s="152">
        <v>6.3E-2</v>
      </c>
      <c r="AD39" s="107">
        <f t="shared" si="17"/>
        <v>10.898968966970962</v>
      </c>
      <c r="AE39" s="112"/>
      <c r="AF39" s="108">
        <f t="shared" si="10"/>
        <v>0</v>
      </c>
      <c r="AG39" s="106"/>
      <c r="AH39" s="107">
        <f t="shared" si="11"/>
        <v>0</v>
      </c>
      <c r="AI39" s="109"/>
      <c r="AJ39" s="108">
        <f t="shared" si="12"/>
        <v>0</v>
      </c>
      <c r="AK39" s="110">
        <v>0.2801474266445812</v>
      </c>
      <c r="AL39" s="107">
        <f t="shared" si="13"/>
        <v>48.465366812318479</v>
      </c>
      <c r="AM39" s="135">
        <f t="shared" si="18"/>
        <v>162.74647922129586</v>
      </c>
      <c r="AN39" s="114">
        <f t="shared" si="19"/>
        <v>172.99950741223748</v>
      </c>
      <c r="AO39" s="113">
        <f t="shared" si="43"/>
        <v>8.6499753706118732</v>
      </c>
      <c r="AP39" s="114"/>
      <c r="AQ39" s="35"/>
      <c r="AR39" s="428" t="s">
        <v>28</v>
      </c>
      <c r="AS39" s="429"/>
      <c r="AT39" s="429"/>
      <c r="AU39" s="429"/>
      <c r="AV39" s="429"/>
      <c r="AW39" s="430"/>
      <c r="AX39" s="4">
        <v>200</v>
      </c>
      <c r="AY39" s="2"/>
      <c r="AZ39" s="2"/>
    </row>
    <row r="40" spans="1:52" x14ac:dyDescent="0.2">
      <c r="A40" s="125"/>
      <c r="B40" s="129" t="s">
        <v>115</v>
      </c>
      <c r="C40" s="339">
        <v>230</v>
      </c>
      <c r="D40" s="329">
        <v>20</v>
      </c>
      <c r="E40" s="339" t="str">
        <f t="shared" si="14"/>
        <v>4,6 kg</v>
      </c>
      <c r="F40" s="329">
        <v>2</v>
      </c>
      <c r="G40" s="111"/>
      <c r="H40" s="354">
        <f t="shared" si="0"/>
        <v>0</v>
      </c>
      <c r="I40" s="105">
        <f t="shared" si="15"/>
        <v>45.339294117647057</v>
      </c>
      <c r="J40" s="140" t="s">
        <v>25</v>
      </c>
      <c r="K40" s="108">
        <f t="shared" si="25"/>
        <v>2</v>
      </c>
      <c r="L40" s="103"/>
      <c r="M40" s="107">
        <f t="shared" si="2"/>
        <v>0</v>
      </c>
      <c r="N40" s="139"/>
      <c r="O40" s="165">
        <f t="shared" si="26"/>
        <v>0</v>
      </c>
      <c r="P40" s="103" t="s">
        <v>25</v>
      </c>
      <c r="Q40" s="142">
        <f t="shared" si="23"/>
        <v>4</v>
      </c>
      <c r="R40" s="135">
        <f t="shared" si="5"/>
        <v>51.339294117647057</v>
      </c>
      <c r="S40" s="145">
        <v>0.3</v>
      </c>
      <c r="T40" s="102">
        <f t="shared" si="16"/>
        <v>73.341848739495802</v>
      </c>
      <c r="U40" s="106">
        <v>0.02</v>
      </c>
      <c r="V40" s="107">
        <f t="shared" si="6"/>
        <v>3.9599998179877378</v>
      </c>
      <c r="W40" s="109">
        <v>0.1</v>
      </c>
      <c r="X40" s="108">
        <f t="shared" si="7"/>
        <v>19.799999089938691</v>
      </c>
      <c r="Y40" s="106">
        <v>0.12</v>
      </c>
      <c r="Z40" s="107">
        <f t="shared" si="8"/>
        <v>23.759998907926427</v>
      </c>
      <c r="AA40" s="314">
        <v>4.4999999999999998E-2</v>
      </c>
      <c r="AB40" s="132">
        <f t="shared" si="9"/>
        <v>8.9099995904724096</v>
      </c>
      <c r="AC40" s="152">
        <v>6.3E-2</v>
      </c>
      <c r="AD40" s="107">
        <f t="shared" si="17"/>
        <v>12.473999426661374</v>
      </c>
      <c r="AE40" s="112"/>
      <c r="AF40" s="108">
        <f t="shared" si="10"/>
        <v>0</v>
      </c>
      <c r="AG40" s="106"/>
      <c r="AH40" s="107">
        <f t="shared" si="11"/>
        <v>0</v>
      </c>
      <c r="AI40" s="109"/>
      <c r="AJ40" s="108">
        <f t="shared" si="12"/>
        <v>0</v>
      </c>
      <c r="AK40" s="110">
        <v>0.28158660550260206</v>
      </c>
      <c r="AL40" s="107">
        <f t="shared" si="13"/>
        <v>55.754145326904457</v>
      </c>
      <c r="AM40" s="135">
        <f t="shared" si="18"/>
        <v>186.26527836254647</v>
      </c>
      <c r="AN40" s="114">
        <f t="shared" si="19"/>
        <v>197.99999089938689</v>
      </c>
      <c r="AO40" s="113">
        <f t="shared" si="43"/>
        <v>9.8999995449693436</v>
      </c>
      <c r="AP40" s="114"/>
      <c r="AQ40" s="35"/>
      <c r="AR40" s="461" t="s">
        <v>30</v>
      </c>
      <c r="AS40" s="462"/>
      <c r="AT40" s="458" t="s">
        <v>31</v>
      </c>
      <c r="AU40" s="459"/>
      <c r="AV40" s="459"/>
      <c r="AW40" s="458" t="s">
        <v>32</v>
      </c>
      <c r="AX40" s="460"/>
      <c r="AY40" s="2"/>
      <c r="AZ40" s="2"/>
    </row>
    <row r="41" spans="1:52" x14ac:dyDescent="0.2">
      <c r="A41" s="125"/>
      <c r="B41" s="129" t="s">
        <v>116</v>
      </c>
      <c r="C41" s="339">
        <v>230</v>
      </c>
      <c r="D41" s="329">
        <v>20</v>
      </c>
      <c r="E41" s="339" t="str">
        <f t="shared" si="14"/>
        <v>4,6 kg</v>
      </c>
      <c r="F41" s="329">
        <v>2</v>
      </c>
      <c r="G41" s="111"/>
      <c r="H41" s="354">
        <f t="shared" si="0"/>
        <v>0</v>
      </c>
      <c r="I41" s="105">
        <f t="shared" si="15"/>
        <v>45.339294117647057</v>
      </c>
      <c r="J41" s="140" t="s">
        <v>25</v>
      </c>
      <c r="K41" s="108">
        <f t="shared" si="25"/>
        <v>2</v>
      </c>
      <c r="L41" s="103"/>
      <c r="M41" s="107">
        <f t="shared" si="2"/>
        <v>0</v>
      </c>
      <c r="N41" s="139"/>
      <c r="O41" s="165">
        <f t="shared" si="26"/>
        <v>0</v>
      </c>
      <c r="P41" s="103" t="s">
        <v>25</v>
      </c>
      <c r="Q41" s="142">
        <f t="shared" si="23"/>
        <v>4</v>
      </c>
      <c r="R41" s="135">
        <f t="shared" si="5"/>
        <v>51.339294117647057</v>
      </c>
      <c r="S41" s="145">
        <v>0.3</v>
      </c>
      <c r="T41" s="102">
        <f t="shared" si="16"/>
        <v>73.341848739495802</v>
      </c>
      <c r="U41" s="106">
        <v>0.02</v>
      </c>
      <c r="V41" s="107">
        <f t="shared" si="6"/>
        <v>3.9599998179877378</v>
      </c>
      <c r="W41" s="109">
        <v>0.1</v>
      </c>
      <c r="X41" s="108">
        <f t="shared" si="7"/>
        <v>19.799999089938691</v>
      </c>
      <c r="Y41" s="106">
        <v>0.12</v>
      </c>
      <c r="Z41" s="107">
        <f t="shared" si="8"/>
        <v>23.759998907926427</v>
      </c>
      <c r="AA41" s="314">
        <v>4.4999999999999998E-2</v>
      </c>
      <c r="AB41" s="132">
        <f t="shared" si="9"/>
        <v>8.9099995904724096</v>
      </c>
      <c r="AC41" s="152">
        <v>6.3E-2</v>
      </c>
      <c r="AD41" s="107">
        <f t="shared" si="17"/>
        <v>12.473999426661374</v>
      </c>
      <c r="AE41" s="112"/>
      <c r="AF41" s="108">
        <f t="shared" si="10"/>
        <v>0</v>
      </c>
      <c r="AG41" s="106"/>
      <c r="AH41" s="107">
        <f t="shared" si="11"/>
        <v>0</v>
      </c>
      <c r="AI41" s="109"/>
      <c r="AJ41" s="108">
        <f t="shared" si="12"/>
        <v>0</v>
      </c>
      <c r="AK41" s="110">
        <v>0.28158660550260206</v>
      </c>
      <c r="AL41" s="107">
        <f t="shared" si="13"/>
        <v>55.754145326904457</v>
      </c>
      <c r="AM41" s="135">
        <f t="shared" si="18"/>
        <v>186.26527836254647</v>
      </c>
      <c r="AN41" s="114">
        <f t="shared" si="19"/>
        <v>197.99999089938689</v>
      </c>
      <c r="AO41" s="113">
        <f t="shared" si="43"/>
        <v>9.8999995449693436</v>
      </c>
      <c r="AP41" s="114"/>
      <c r="AQ41" s="1"/>
      <c r="AR41" s="452"/>
      <c r="AS41" s="453"/>
      <c r="AT41" s="7" t="s">
        <v>33</v>
      </c>
      <c r="AU41" s="7" t="s">
        <v>34</v>
      </c>
      <c r="AV41" s="7" t="s">
        <v>35</v>
      </c>
      <c r="AW41" s="8" t="s">
        <v>36</v>
      </c>
      <c r="AX41" s="9" t="s">
        <v>37</v>
      </c>
      <c r="AY41" s="2"/>
      <c r="AZ41" s="2"/>
    </row>
    <row r="42" spans="1:52" x14ac:dyDescent="0.2">
      <c r="A42" s="125"/>
      <c r="B42" s="171" t="s">
        <v>128</v>
      </c>
      <c r="C42" s="338">
        <v>1000</v>
      </c>
      <c r="D42" s="328">
        <v>1</v>
      </c>
      <c r="E42" s="338" t="str">
        <f t="shared" si="14"/>
        <v>1 kg</v>
      </c>
      <c r="F42" s="328">
        <v>5</v>
      </c>
      <c r="G42" s="172">
        <v>1</v>
      </c>
      <c r="H42" s="353">
        <f t="shared" si="0"/>
        <v>5.333333333333333</v>
      </c>
      <c r="I42" s="179">
        <f t="shared" si="15"/>
        <v>1.0266433482112929</v>
      </c>
      <c r="J42" s="173" t="s">
        <v>25</v>
      </c>
      <c r="K42" s="181">
        <f t="shared" si="25"/>
        <v>0.09</v>
      </c>
      <c r="L42" s="175"/>
      <c r="M42" s="174">
        <f t="shared" si="2"/>
        <v>0</v>
      </c>
      <c r="N42" s="176"/>
      <c r="O42" s="165">
        <f t="shared" si="26"/>
        <v>0</v>
      </c>
      <c r="P42" s="175" t="s">
        <v>25</v>
      </c>
      <c r="Q42" s="174">
        <f t="shared" si="23"/>
        <v>3</v>
      </c>
      <c r="R42" s="177">
        <f t="shared" si="5"/>
        <v>9.4499766815446264</v>
      </c>
      <c r="S42" s="178">
        <v>0.3</v>
      </c>
      <c r="T42" s="186">
        <f t="shared" ref="T42:T49" si="64">R42/(1-S42)</f>
        <v>13.499966687920896</v>
      </c>
      <c r="U42" s="180">
        <v>0.02</v>
      </c>
      <c r="V42" s="174">
        <f t="shared" si="6"/>
        <v>0.75999838325923408</v>
      </c>
      <c r="W42" s="184">
        <v>0.1</v>
      </c>
      <c r="X42" s="181">
        <f t="shared" si="7"/>
        <v>3.7999919162961704</v>
      </c>
      <c r="Y42" s="180">
        <v>0.12</v>
      </c>
      <c r="Z42" s="174">
        <f t="shared" si="8"/>
        <v>4.5599902995554045</v>
      </c>
      <c r="AA42" s="313">
        <v>4.4999999999999998E-2</v>
      </c>
      <c r="AB42" s="183">
        <f t="shared" si="9"/>
        <v>1.7099963623332766</v>
      </c>
      <c r="AC42" s="182">
        <v>6.3E-2</v>
      </c>
      <c r="AD42" s="174">
        <f t="shared" ref="AD42:AD49" si="65">AN42*AC42</f>
        <v>2.3939949072665874</v>
      </c>
      <c r="AE42" s="184"/>
      <c r="AF42" s="181">
        <f t="shared" si="10"/>
        <v>0</v>
      </c>
      <c r="AG42" s="180"/>
      <c r="AH42" s="174">
        <f t="shared" si="11"/>
        <v>0</v>
      </c>
      <c r="AI42" s="184"/>
      <c r="AJ42" s="181">
        <f t="shared" si="12"/>
        <v>0</v>
      </c>
      <c r="AK42" s="185">
        <v>0.29673696299124674</v>
      </c>
      <c r="AL42" s="174">
        <f t="shared" si="13"/>
        <v>11.275980606330135</v>
      </c>
      <c r="AM42" s="177">
        <f t="shared" ref="AM42:AM49" si="66">AN42/(1+AC42)</f>
        <v>35.747807302880247</v>
      </c>
      <c r="AN42" s="186">
        <f t="shared" ref="AN42:AN49" si="67">T42/(1-(IF(U42&gt;0,U42,0)+IF(W42&gt;0,W42,0)+IF(Y42&gt;0,Y42,0)+IF(AA42&gt;0,AA42,0)+IF(AC42&gt;0,AC42,0)+IF(AE42&gt;0,AE42,0)+IF(AG42&gt;0,AG42,0)+IF(AI42&gt;0,AI42,0)+IF(AK42&gt;0,AK42,0)))</f>
        <v>37.999919162961703</v>
      </c>
      <c r="AO42" s="187">
        <f t="shared" si="43"/>
        <v>37.999919162961703</v>
      </c>
      <c r="AP42" s="188"/>
      <c r="AQ42" s="1"/>
      <c r="AR42" s="406" t="s">
        <v>51</v>
      </c>
      <c r="AS42" s="407"/>
      <c r="AT42" s="12">
        <f>57.7/150*AX39</f>
        <v>76.933333333333337</v>
      </c>
      <c r="AU42" s="12">
        <f>AT42*5</f>
        <v>384.66666666666669</v>
      </c>
      <c r="AV42" s="13">
        <f>AT42*20</f>
        <v>1538.6666666666667</v>
      </c>
      <c r="AW42" s="14">
        <v>6.8</v>
      </c>
      <c r="AX42" s="15">
        <f>AV42*AW42</f>
        <v>10462.933333333334</v>
      </c>
      <c r="AY42" s="2"/>
      <c r="AZ42" s="2"/>
    </row>
    <row r="43" spans="1:52" x14ac:dyDescent="0.2">
      <c r="A43" s="125"/>
      <c r="B43" s="171" t="s">
        <v>129</v>
      </c>
      <c r="C43" s="338">
        <v>1000</v>
      </c>
      <c r="D43" s="328">
        <v>1</v>
      </c>
      <c r="E43" s="338" t="str">
        <f t="shared" si="14"/>
        <v>1 kg</v>
      </c>
      <c r="F43" s="328">
        <v>5</v>
      </c>
      <c r="G43" s="172">
        <v>2</v>
      </c>
      <c r="H43" s="353">
        <f t="shared" si="0"/>
        <v>11.333333333333334</v>
      </c>
      <c r="I43" s="179">
        <f t="shared" si="15"/>
        <v>1.0266433482112929</v>
      </c>
      <c r="J43" s="173" t="s">
        <v>25</v>
      </c>
      <c r="K43" s="181">
        <f t="shared" si="25"/>
        <v>0.09</v>
      </c>
      <c r="L43" s="175"/>
      <c r="M43" s="174">
        <f t="shared" si="2"/>
        <v>0</v>
      </c>
      <c r="N43" s="176"/>
      <c r="O43" s="165">
        <f t="shared" si="26"/>
        <v>0</v>
      </c>
      <c r="P43" s="175" t="s">
        <v>25</v>
      </c>
      <c r="Q43" s="174">
        <f t="shared" si="23"/>
        <v>3</v>
      </c>
      <c r="R43" s="177">
        <f t="shared" si="5"/>
        <v>15.449976681544626</v>
      </c>
      <c r="S43" s="178">
        <v>0.3</v>
      </c>
      <c r="T43" s="186">
        <f t="shared" si="64"/>
        <v>22.071395259349469</v>
      </c>
      <c r="U43" s="180">
        <v>0.02</v>
      </c>
      <c r="V43" s="174">
        <f t="shared" si="6"/>
        <v>1.0599938838471723</v>
      </c>
      <c r="W43" s="184">
        <v>0.1</v>
      </c>
      <c r="X43" s="181">
        <f t="shared" si="7"/>
        <v>5.299969419235862</v>
      </c>
      <c r="Y43" s="180">
        <v>0.12</v>
      </c>
      <c r="Z43" s="174">
        <f t="shared" si="8"/>
        <v>6.3599633030830338</v>
      </c>
      <c r="AA43" s="313">
        <v>4.4999999999999998E-2</v>
      </c>
      <c r="AB43" s="183">
        <f t="shared" si="9"/>
        <v>2.3849862386561376</v>
      </c>
      <c r="AC43" s="182">
        <v>6.3E-2</v>
      </c>
      <c r="AD43" s="174">
        <f t="shared" si="65"/>
        <v>3.3389807341185929</v>
      </c>
      <c r="AE43" s="184"/>
      <c r="AF43" s="181">
        <f t="shared" si="10"/>
        <v>0</v>
      </c>
      <c r="AG43" s="180"/>
      <c r="AH43" s="174">
        <f t="shared" si="11"/>
        <v>0</v>
      </c>
      <c r="AI43" s="184"/>
      <c r="AJ43" s="181">
        <f t="shared" si="12"/>
        <v>0</v>
      </c>
      <c r="AK43" s="185">
        <v>0.235556177149949</v>
      </c>
      <c r="AL43" s="174">
        <f t="shared" si="13"/>
        <v>12.48440535406835</v>
      </c>
      <c r="AM43" s="177">
        <f t="shared" si="66"/>
        <v>49.858602250572552</v>
      </c>
      <c r="AN43" s="186">
        <f t="shared" si="67"/>
        <v>52.999694192358618</v>
      </c>
      <c r="AO43" s="187">
        <f t="shared" si="43"/>
        <v>52.999694192358618</v>
      </c>
      <c r="AP43" s="188"/>
      <c r="AQ43" s="1"/>
      <c r="AR43" s="406" t="s">
        <v>52</v>
      </c>
      <c r="AS43" s="407"/>
      <c r="AT43" s="12">
        <f>AX39/7.62</f>
        <v>26.246719160104988</v>
      </c>
      <c r="AU43" s="12">
        <f t="shared" ref="AU43:AU44" si="68">AT43*5</f>
        <v>131.23359580052494</v>
      </c>
      <c r="AV43" s="13">
        <f t="shared" ref="AV43" si="69">AT43*20</f>
        <v>524.93438320209975</v>
      </c>
      <c r="AW43" s="14">
        <v>40</v>
      </c>
      <c r="AX43" s="15">
        <f t="shared" ref="AX43:AX46" si="70">AV43*AW43</f>
        <v>20997.375328083988</v>
      </c>
      <c r="AY43" s="2"/>
      <c r="AZ43" s="2"/>
    </row>
    <row r="44" spans="1:52" x14ac:dyDescent="0.2">
      <c r="A44" s="125"/>
      <c r="B44" s="171" t="s">
        <v>130</v>
      </c>
      <c r="C44" s="338">
        <v>1000</v>
      </c>
      <c r="D44" s="328">
        <v>1</v>
      </c>
      <c r="E44" s="338" t="str">
        <f t="shared" si="14"/>
        <v>1 kg</v>
      </c>
      <c r="F44" s="328">
        <v>5</v>
      </c>
      <c r="G44" s="172">
        <v>3</v>
      </c>
      <c r="H44" s="353">
        <f t="shared" si="0"/>
        <v>13.333333333333334</v>
      </c>
      <c r="I44" s="179">
        <f t="shared" si="15"/>
        <v>1.0266433482112929</v>
      </c>
      <c r="J44" s="173" t="s">
        <v>25</v>
      </c>
      <c r="K44" s="181">
        <f t="shared" si="25"/>
        <v>0.09</v>
      </c>
      <c r="L44" s="175"/>
      <c r="M44" s="174">
        <f t="shared" si="2"/>
        <v>0</v>
      </c>
      <c r="N44" s="176"/>
      <c r="O44" s="165">
        <f t="shared" si="26"/>
        <v>0</v>
      </c>
      <c r="P44" s="175" t="s">
        <v>25</v>
      </c>
      <c r="Q44" s="174">
        <f t="shared" si="23"/>
        <v>3</v>
      </c>
      <c r="R44" s="177">
        <f t="shared" si="5"/>
        <v>17.449976681544626</v>
      </c>
      <c r="S44" s="178">
        <v>0.3</v>
      </c>
      <c r="T44" s="186">
        <f t="shared" si="64"/>
        <v>24.928538116492327</v>
      </c>
      <c r="U44" s="180">
        <v>0.02</v>
      </c>
      <c r="V44" s="174">
        <f t="shared" si="6"/>
        <v>1.160006427012207</v>
      </c>
      <c r="W44" s="184">
        <v>0.1</v>
      </c>
      <c r="X44" s="181">
        <f t="shared" si="7"/>
        <v>5.8000321350610351</v>
      </c>
      <c r="Y44" s="180">
        <v>0.12</v>
      </c>
      <c r="Z44" s="174">
        <f t="shared" si="8"/>
        <v>6.9600385620732412</v>
      </c>
      <c r="AA44" s="313">
        <v>4.4999999999999998E-2</v>
      </c>
      <c r="AB44" s="183">
        <f t="shared" si="9"/>
        <v>2.6100144607774656</v>
      </c>
      <c r="AC44" s="182">
        <v>6.3E-2</v>
      </c>
      <c r="AD44" s="174">
        <f t="shared" si="65"/>
        <v>3.6540202450884522</v>
      </c>
      <c r="AE44" s="184"/>
      <c r="AF44" s="181">
        <f t="shared" si="10"/>
        <v>0</v>
      </c>
      <c r="AG44" s="180"/>
      <c r="AH44" s="174">
        <f t="shared" si="11"/>
        <v>0</v>
      </c>
      <c r="AI44" s="184"/>
      <c r="AJ44" s="181">
        <f t="shared" si="12"/>
        <v>0</v>
      </c>
      <c r="AK44" s="185">
        <v>0.22220000000000001</v>
      </c>
      <c r="AL44" s="174">
        <f t="shared" si="13"/>
        <v>12.887671404105619</v>
      </c>
      <c r="AM44" s="177">
        <f t="shared" si="66"/>
        <v>54.562861101232691</v>
      </c>
      <c r="AN44" s="186">
        <f t="shared" si="67"/>
        <v>58.000321350610349</v>
      </c>
      <c r="AO44" s="187">
        <f t="shared" si="43"/>
        <v>58.000321350610349</v>
      </c>
      <c r="AP44" s="188"/>
      <c r="AQ44" s="35"/>
      <c r="AR44" s="406" t="s">
        <v>53</v>
      </c>
      <c r="AS44" s="407"/>
      <c r="AT44" s="12">
        <f>AX39/2.095</f>
        <v>95.465393794749389</v>
      </c>
      <c r="AU44" s="12">
        <f t="shared" si="68"/>
        <v>477.32696897374694</v>
      </c>
      <c r="AV44" s="13">
        <f>AT44*20</f>
        <v>1909.3078758949878</v>
      </c>
      <c r="AW44" s="14">
        <v>4.75</v>
      </c>
      <c r="AX44" s="15">
        <f t="shared" si="70"/>
        <v>9069.2124105011917</v>
      </c>
      <c r="AY44" s="2"/>
      <c r="AZ44" s="2"/>
    </row>
    <row r="45" spans="1:52" x14ac:dyDescent="0.2">
      <c r="A45" s="125"/>
      <c r="B45" s="171" t="s">
        <v>142</v>
      </c>
      <c r="C45" s="338">
        <v>1000</v>
      </c>
      <c r="D45" s="328">
        <v>1</v>
      </c>
      <c r="E45" s="338" t="str">
        <f t="shared" si="14"/>
        <v>1 kg</v>
      </c>
      <c r="F45" s="328">
        <v>5</v>
      </c>
      <c r="G45" s="172">
        <v>4</v>
      </c>
      <c r="H45" s="353">
        <f t="shared" si="0"/>
        <v>11.333333333333334</v>
      </c>
      <c r="I45" s="179">
        <f t="shared" si="15"/>
        <v>1.0266433482112929</v>
      </c>
      <c r="J45" s="173" t="s">
        <v>25</v>
      </c>
      <c r="K45" s="181">
        <f t="shared" si="25"/>
        <v>0.09</v>
      </c>
      <c r="L45" s="175"/>
      <c r="M45" s="174">
        <f t="shared" si="2"/>
        <v>0</v>
      </c>
      <c r="N45" s="176"/>
      <c r="O45" s="165">
        <f t="shared" si="26"/>
        <v>0</v>
      </c>
      <c r="P45" s="175" t="s">
        <v>25</v>
      </c>
      <c r="Q45" s="174">
        <f t="shared" si="23"/>
        <v>3</v>
      </c>
      <c r="R45" s="177">
        <f t="shared" si="5"/>
        <v>15.449976681544626</v>
      </c>
      <c r="S45" s="178">
        <v>0.3</v>
      </c>
      <c r="T45" s="186">
        <f t="shared" si="64"/>
        <v>22.071395259349469</v>
      </c>
      <c r="U45" s="180">
        <v>0.02</v>
      </c>
      <c r="V45" s="174">
        <f t="shared" si="6"/>
        <v>1.0599938838471723</v>
      </c>
      <c r="W45" s="184">
        <v>0.1</v>
      </c>
      <c r="X45" s="181">
        <f t="shared" si="7"/>
        <v>5.299969419235862</v>
      </c>
      <c r="Y45" s="180">
        <v>0.12</v>
      </c>
      <c r="Z45" s="174">
        <f t="shared" si="8"/>
        <v>6.3599633030830338</v>
      </c>
      <c r="AA45" s="313">
        <v>4.4999999999999998E-2</v>
      </c>
      <c r="AB45" s="183">
        <f t="shared" si="9"/>
        <v>2.3849862386561376</v>
      </c>
      <c r="AC45" s="182">
        <v>6.3E-2</v>
      </c>
      <c r="AD45" s="174">
        <f t="shared" si="65"/>
        <v>3.3389807341185929</v>
      </c>
      <c r="AE45" s="184"/>
      <c r="AF45" s="181">
        <f t="shared" si="10"/>
        <v>0</v>
      </c>
      <c r="AG45" s="180"/>
      <c r="AH45" s="174">
        <f t="shared" si="11"/>
        <v>0</v>
      </c>
      <c r="AI45" s="184"/>
      <c r="AJ45" s="181">
        <f t="shared" si="12"/>
        <v>0</v>
      </c>
      <c r="AK45" s="185">
        <v>0.235556177149949</v>
      </c>
      <c r="AL45" s="174">
        <f t="shared" si="13"/>
        <v>12.48440535406835</v>
      </c>
      <c r="AM45" s="177">
        <f t="shared" si="66"/>
        <v>49.858602250572552</v>
      </c>
      <c r="AN45" s="186">
        <f t="shared" si="67"/>
        <v>52.999694192358618</v>
      </c>
      <c r="AO45" s="187">
        <f t="shared" si="43"/>
        <v>52.999694192358618</v>
      </c>
      <c r="AP45" s="188"/>
      <c r="AQ45" s="1"/>
      <c r="AR45" s="406" t="s">
        <v>54</v>
      </c>
      <c r="AS45" s="407"/>
      <c r="AT45" s="12">
        <f>AX39/12.5</f>
        <v>16</v>
      </c>
      <c r="AU45" s="12">
        <f>AT45*5</f>
        <v>80</v>
      </c>
      <c r="AV45" s="13">
        <f>AT45*20</f>
        <v>320</v>
      </c>
      <c r="AW45" s="14">
        <v>12.75</v>
      </c>
      <c r="AX45" s="15">
        <f t="shared" si="70"/>
        <v>4080</v>
      </c>
      <c r="AY45" s="2"/>
      <c r="AZ45" s="2"/>
    </row>
    <row r="46" spans="1:52" x14ac:dyDescent="0.2">
      <c r="A46" s="125"/>
      <c r="B46" s="129" t="s">
        <v>131</v>
      </c>
      <c r="C46" s="339">
        <f t="shared" ref="C46:C47" si="71">60*6</f>
        <v>360</v>
      </c>
      <c r="D46" s="329">
        <v>10</v>
      </c>
      <c r="E46" s="339" t="str">
        <f t="shared" ref="E46:E49" si="72">CONCATENATE((C46*D46)/1000," kg")</f>
        <v>3,6 kg</v>
      </c>
      <c r="F46" s="329">
        <v>5</v>
      </c>
      <c r="G46" s="111">
        <v>1</v>
      </c>
      <c r="H46" s="354">
        <f t="shared" ref="H46:H49" si="73">(IF(F46=1,0,IF(F46=2,0,IF(F46=3,0,IF(F46=4,0,IF(F46=5,IF(G46=1,$AT$107,IF(G46=2,$AT$108,IF(G46=3,$AT$109,IF(G46=4,$AT$110)))),IF(F46=6,IF(G46=1,$AT$107,IF(G46=2,$AT$108,IF(G46=3,$AT$109,IF(G46=4,$AT$110))))))))))/1000*C46*D46)</f>
        <v>19.2</v>
      </c>
      <c r="I46" s="105">
        <f t="shared" si="15"/>
        <v>3.6959160535606546</v>
      </c>
      <c r="J46" s="140" t="s">
        <v>25</v>
      </c>
      <c r="K46" s="108">
        <f t="shared" si="25"/>
        <v>0.89999999999999991</v>
      </c>
      <c r="L46" s="103"/>
      <c r="M46" s="107">
        <f t="shared" ref="M46:M53" si="74">IF(L46="S",IF(F46=1,$AT$17,IF(F46=2,$AT$33,IF(F46=3,$AT$50,IF(F46=4,$AT$67,IF(F46=5,$AT$84,IF(F46=6,$AT$101,IF(F46=7,$AX$115,IF(F46=8,$AX$115))))))))*$D46,0)</f>
        <v>0</v>
      </c>
      <c r="N46" s="139"/>
      <c r="O46" s="165">
        <f t="shared" si="26"/>
        <v>0</v>
      </c>
      <c r="P46" s="103" t="s">
        <v>25</v>
      </c>
      <c r="Q46" s="142">
        <f t="shared" si="23"/>
        <v>3</v>
      </c>
      <c r="R46" s="191">
        <f t="shared" si="5"/>
        <v>26.795916053560653</v>
      </c>
      <c r="S46" s="192">
        <v>0.3</v>
      </c>
      <c r="T46" s="196">
        <f t="shared" si="64"/>
        <v>38.279880076515219</v>
      </c>
      <c r="U46" s="193">
        <v>0.02</v>
      </c>
      <c r="V46" s="104">
        <f t="shared" ref="V46:V49" si="75">U46*AN46</f>
        <v>2.3299956175549315</v>
      </c>
      <c r="W46" s="195">
        <v>0.1</v>
      </c>
      <c r="X46" s="194">
        <f t="shared" ref="X46:X49" si="76">W46*AN46</f>
        <v>11.649978087774658</v>
      </c>
      <c r="Y46" s="193">
        <v>0.12</v>
      </c>
      <c r="Z46" s="104">
        <f t="shared" ref="Z46:Z49" si="77">Y46*AN46</f>
        <v>13.979973705329588</v>
      </c>
      <c r="AA46" s="314">
        <v>4.4999999999999998E-2</v>
      </c>
      <c r="AB46" s="132">
        <f t="shared" ref="AB46:AB49" si="78">AA46*AN46</f>
        <v>5.2424901394985959</v>
      </c>
      <c r="AC46" s="152">
        <v>6.3E-2</v>
      </c>
      <c r="AD46" s="107">
        <f t="shared" si="65"/>
        <v>7.3394861952980346</v>
      </c>
      <c r="AE46" s="195"/>
      <c r="AF46" s="194">
        <f t="shared" ref="AF46:AF49" si="79">AE46*AN46</f>
        <v>0</v>
      </c>
      <c r="AG46" s="193"/>
      <c r="AH46" s="104">
        <f t="shared" ref="AH46:AH49" si="80">AG46*AN46</f>
        <v>0</v>
      </c>
      <c r="AI46" s="195"/>
      <c r="AJ46" s="194">
        <f t="shared" ref="AJ46:AJ49" si="81">AI46*AN46</f>
        <v>0</v>
      </c>
      <c r="AK46" s="110">
        <v>0.3234167203740439</v>
      </c>
      <c r="AL46" s="107">
        <f t="shared" ref="AL46:AL49" si="82">AK46*AN46</f>
        <v>37.67797705577555</v>
      </c>
      <c r="AM46" s="191">
        <f t="shared" si="66"/>
        <v>109.59527834218869</v>
      </c>
      <c r="AN46" s="196">
        <f t="shared" si="67"/>
        <v>116.49978087774657</v>
      </c>
      <c r="AO46" s="197">
        <f t="shared" ref="AO46:AO49" si="83">AN46/D46</f>
        <v>11.649978087774658</v>
      </c>
      <c r="AP46" s="198"/>
      <c r="AQ46" s="1"/>
      <c r="AR46" s="406" t="s">
        <v>55</v>
      </c>
      <c r="AS46" s="407"/>
      <c r="AT46" s="37">
        <f>AX39/140.75</f>
        <v>1.4209591474245116</v>
      </c>
      <c r="AU46" s="12">
        <f>AT46*5</f>
        <v>7.1047957371225579</v>
      </c>
      <c r="AV46" s="13">
        <f>AT46*20</f>
        <v>28.419182948490231</v>
      </c>
      <c r="AW46" s="14">
        <v>2.2000000000000002</v>
      </c>
      <c r="AX46" s="15">
        <f t="shared" si="70"/>
        <v>62.522202486678516</v>
      </c>
      <c r="AY46" s="2"/>
      <c r="AZ46" s="2"/>
    </row>
    <row r="47" spans="1:52" x14ac:dyDescent="0.2">
      <c r="A47" s="125"/>
      <c r="B47" s="129" t="s">
        <v>132</v>
      </c>
      <c r="C47" s="339">
        <f t="shared" si="71"/>
        <v>360</v>
      </c>
      <c r="D47" s="329">
        <v>10</v>
      </c>
      <c r="E47" s="339" t="str">
        <f t="shared" si="72"/>
        <v>3,6 kg</v>
      </c>
      <c r="F47" s="329">
        <v>5</v>
      </c>
      <c r="G47" s="111">
        <v>2</v>
      </c>
      <c r="H47" s="354">
        <f t="shared" si="73"/>
        <v>40.799999999999997</v>
      </c>
      <c r="I47" s="105">
        <f t="shared" si="15"/>
        <v>3.6959160535606546</v>
      </c>
      <c r="J47" s="140" t="s">
        <v>25</v>
      </c>
      <c r="K47" s="108">
        <f t="shared" si="25"/>
        <v>0.89999999999999991</v>
      </c>
      <c r="L47" s="103"/>
      <c r="M47" s="107">
        <f t="shared" si="74"/>
        <v>0</v>
      </c>
      <c r="N47" s="139"/>
      <c r="O47" s="165">
        <f t="shared" si="26"/>
        <v>0</v>
      </c>
      <c r="P47" s="103" t="s">
        <v>25</v>
      </c>
      <c r="Q47" s="142">
        <f t="shared" si="23"/>
        <v>3</v>
      </c>
      <c r="R47" s="135">
        <f t="shared" si="5"/>
        <v>48.395916053560647</v>
      </c>
      <c r="S47" s="145">
        <v>0.3</v>
      </c>
      <c r="T47" s="102">
        <f t="shared" si="64"/>
        <v>69.137022933658073</v>
      </c>
      <c r="U47" s="106">
        <v>0.02</v>
      </c>
      <c r="V47" s="107">
        <f t="shared" si="75"/>
        <v>3.2999885812114655</v>
      </c>
      <c r="W47" s="109">
        <v>0.1</v>
      </c>
      <c r="X47" s="108">
        <f t="shared" si="76"/>
        <v>16.499942906057328</v>
      </c>
      <c r="Y47" s="106">
        <v>0.12</v>
      </c>
      <c r="Z47" s="107">
        <f t="shared" si="77"/>
        <v>19.799931487268793</v>
      </c>
      <c r="AA47" s="314">
        <v>4.4999999999999998E-2</v>
      </c>
      <c r="AB47" s="132">
        <f t="shared" si="78"/>
        <v>7.4249743077257975</v>
      </c>
      <c r="AC47" s="152">
        <v>6.3E-2</v>
      </c>
      <c r="AD47" s="107">
        <f t="shared" si="65"/>
        <v>10.394964030816116</v>
      </c>
      <c r="AE47" s="109"/>
      <c r="AF47" s="108">
        <f t="shared" si="79"/>
        <v>0</v>
      </c>
      <c r="AG47" s="106"/>
      <c r="AH47" s="107">
        <f t="shared" si="80"/>
        <v>0</v>
      </c>
      <c r="AI47" s="109"/>
      <c r="AJ47" s="108">
        <f t="shared" si="81"/>
        <v>0</v>
      </c>
      <c r="AK47" s="110">
        <v>0.23298628990845149</v>
      </c>
      <c r="AL47" s="107">
        <f t="shared" si="82"/>
        <v>38.4426048138357</v>
      </c>
      <c r="AM47" s="135">
        <f t="shared" si="66"/>
        <v>155.2205353344998</v>
      </c>
      <c r="AN47" s="102">
        <f t="shared" si="67"/>
        <v>164.99942906057328</v>
      </c>
      <c r="AO47" s="113">
        <f t="shared" si="83"/>
        <v>16.499942906057328</v>
      </c>
      <c r="AP47" s="114"/>
      <c r="AQ47" s="1"/>
      <c r="AR47" s="421" t="s">
        <v>43</v>
      </c>
      <c r="AS47" s="422"/>
      <c r="AT47" s="20">
        <f>AX47/AX39/30</f>
        <v>0.40940388837197556</v>
      </c>
      <c r="AU47" s="21">
        <f>AT47*5</f>
        <v>2.0470194418598777</v>
      </c>
      <c r="AV47" s="22">
        <f>AT47*20</f>
        <v>8.1880777674395109</v>
      </c>
      <c r="AW47" s="23">
        <f>AX47/AX39*AV47</f>
        <v>100.56692628845582</v>
      </c>
      <c r="AX47" s="24">
        <f>((AX42+AX43+AX44+AX45+AX46+AX48)/0.95)-(AX42+AX43+AX44+AX45+AX46+AX48)</f>
        <v>2456.4233302318535</v>
      </c>
      <c r="AY47" s="2"/>
      <c r="AZ47" s="2"/>
    </row>
    <row r="48" spans="1:52" ht="17" thickBot="1" x14ac:dyDescent="0.25">
      <c r="A48" s="125"/>
      <c r="B48" s="129" t="s">
        <v>133</v>
      </c>
      <c r="C48" s="339">
        <f>60*6</f>
        <v>360</v>
      </c>
      <c r="D48" s="329">
        <v>10</v>
      </c>
      <c r="E48" s="339" t="str">
        <f t="shared" si="72"/>
        <v>3,6 kg</v>
      </c>
      <c r="F48" s="329">
        <v>5</v>
      </c>
      <c r="G48" s="111">
        <v>3</v>
      </c>
      <c r="H48" s="354">
        <f t="shared" si="73"/>
        <v>48.000000000000007</v>
      </c>
      <c r="I48" s="105">
        <f t="shared" si="15"/>
        <v>3.6959160535606546</v>
      </c>
      <c r="J48" s="140" t="s">
        <v>25</v>
      </c>
      <c r="K48" s="108">
        <f t="shared" si="25"/>
        <v>0.89999999999999991</v>
      </c>
      <c r="L48" s="103"/>
      <c r="M48" s="107">
        <f t="shared" si="74"/>
        <v>0</v>
      </c>
      <c r="N48" s="139"/>
      <c r="O48" s="165">
        <f t="shared" si="26"/>
        <v>0</v>
      </c>
      <c r="P48" s="103" t="s">
        <v>25</v>
      </c>
      <c r="Q48" s="142">
        <f t="shared" si="23"/>
        <v>3</v>
      </c>
      <c r="R48" s="135">
        <f t="shared" si="5"/>
        <v>55.595916053560657</v>
      </c>
      <c r="S48" s="145">
        <v>0.3</v>
      </c>
      <c r="T48" s="102">
        <f t="shared" si="64"/>
        <v>79.422737219372365</v>
      </c>
      <c r="U48" s="106">
        <v>0.02</v>
      </c>
      <c r="V48" s="107">
        <f t="shared" si="75"/>
        <v>3.7899999496215315</v>
      </c>
      <c r="W48" s="109">
        <v>0.1</v>
      </c>
      <c r="X48" s="108">
        <f t="shared" si="76"/>
        <v>18.949999748107658</v>
      </c>
      <c r="Y48" s="106">
        <v>0.12</v>
      </c>
      <c r="Z48" s="107">
        <f t="shared" si="77"/>
        <v>22.739999697729189</v>
      </c>
      <c r="AA48" s="314">
        <v>4.4999999999999998E-2</v>
      </c>
      <c r="AB48" s="132">
        <f t="shared" si="78"/>
        <v>8.5274998866484459</v>
      </c>
      <c r="AC48" s="152">
        <v>6.3E-2</v>
      </c>
      <c r="AD48" s="107">
        <f t="shared" si="65"/>
        <v>11.938499841307824</v>
      </c>
      <c r="AE48" s="109"/>
      <c r="AF48" s="108">
        <f t="shared" si="79"/>
        <v>0</v>
      </c>
      <c r="AG48" s="106"/>
      <c r="AH48" s="107">
        <f t="shared" si="80"/>
        <v>0</v>
      </c>
      <c r="AI48" s="109"/>
      <c r="AJ48" s="108">
        <f t="shared" si="81"/>
        <v>0</v>
      </c>
      <c r="AK48" s="110">
        <v>0.23288264762481861</v>
      </c>
      <c r="AL48" s="107">
        <f t="shared" si="82"/>
        <v>44.131261138289574</v>
      </c>
      <c r="AM48" s="135">
        <f t="shared" si="66"/>
        <v>178.26904748925361</v>
      </c>
      <c r="AN48" s="102">
        <f t="shared" si="67"/>
        <v>189.49999748107658</v>
      </c>
      <c r="AO48" s="113">
        <f t="shared" si="83"/>
        <v>18.949999748107658</v>
      </c>
      <c r="AP48" s="114"/>
      <c r="AQ48" s="1"/>
      <c r="AR48" s="447" t="s">
        <v>44</v>
      </c>
      <c r="AS48" s="448"/>
      <c r="AT48" s="25"/>
      <c r="AU48" s="25"/>
      <c r="AV48" s="26"/>
      <c r="AW48" s="27"/>
      <c r="AX48" s="28">
        <f>(AX39*20)*0.5</f>
        <v>2000</v>
      </c>
      <c r="AY48" s="2"/>
      <c r="AZ48" s="2"/>
    </row>
    <row r="49" spans="1:52" ht="17" thickBot="1" x14ac:dyDescent="0.25">
      <c r="A49" s="125"/>
      <c r="B49" s="129" t="s">
        <v>143</v>
      </c>
      <c r="C49" s="339">
        <f t="shared" ref="C49" si="84">60*6</f>
        <v>360</v>
      </c>
      <c r="D49" s="329">
        <v>10</v>
      </c>
      <c r="E49" s="339" t="str">
        <f t="shared" si="72"/>
        <v>3,6 kg</v>
      </c>
      <c r="F49" s="329">
        <v>5</v>
      </c>
      <c r="G49" s="111">
        <v>4</v>
      </c>
      <c r="H49" s="107">
        <f t="shared" si="73"/>
        <v>40.799999999999997</v>
      </c>
      <c r="I49" s="105">
        <f t="shared" si="15"/>
        <v>3.6959160535606546</v>
      </c>
      <c r="J49" s="140" t="s">
        <v>25</v>
      </c>
      <c r="K49" s="108">
        <f t="shared" si="25"/>
        <v>0.89999999999999991</v>
      </c>
      <c r="L49" s="103"/>
      <c r="M49" s="107">
        <f t="shared" si="74"/>
        <v>0</v>
      </c>
      <c r="N49" s="139"/>
      <c r="O49" s="165">
        <f t="shared" si="26"/>
        <v>0</v>
      </c>
      <c r="P49" s="103" t="s">
        <v>25</v>
      </c>
      <c r="Q49" s="107">
        <f t="shared" si="23"/>
        <v>3</v>
      </c>
      <c r="R49" s="135">
        <f t="shared" si="5"/>
        <v>48.395916053560647</v>
      </c>
      <c r="S49" s="145">
        <v>0.3</v>
      </c>
      <c r="T49" s="102">
        <f t="shared" si="64"/>
        <v>69.137022933658073</v>
      </c>
      <c r="U49" s="106">
        <v>0.02</v>
      </c>
      <c r="V49" s="107">
        <f t="shared" si="75"/>
        <v>3.2999885812114655</v>
      </c>
      <c r="W49" s="109">
        <v>0.1</v>
      </c>
      <c r="X49" s="108">
        <f t="shared" si="76"/>
        <v>16.499942906057328</v>
      </c>
      <c r="Y49" s="106">
        <v>0.12</v>
      </c>
      <c r="Z49" s="107">
        <f t="shared" si="77"/>
        <v>19.799931487268793</v>
      </c>
      <c r="AA49" s="315">
        <v>4.4999999999999998E-2</v>
      </c>
      <c r="AB49" s="108">
        <f t="shared" si="78"/>
        <v>7.4249743077257975</v>
      </c>
      <c r="AC49" s="199">
        <v>6.3E-2</v>
      </c>
      <c r="AD49" s="107">
        <f t="shared" si="65"/>
        <v>10.394964030816116</v>
      </c>
      <c r="AE49" s="109"/>
      <c r="AF49" s="108">
        <f t="shared" si="79"/>
        <v>0</v>
      </c>
      <c r="AG49" s="106"/>
      <c r="AH49" s="107">
        <f t="shared" si="80"/>
        <v>0</v>
      </c>
      <c r="AI49" s="109"/>
      <c r="AJ49" s="108">
        <f t="shared" si="81"/>
        <v>0</v>
      </c>
      <c r="AK49" s="110">
        <v>0.23298628990845149</v>
      </c>
      <c r="AL49" s="107">
        <f t="shared" si="82"/>
        <v>38.4426048138357</v>
      </c>
      <c r="AM49" s="135">
        <f t="shared" si="66"/>
        <v>155.2205353344998</v>
      </c>
      <c r="AN49" s="102">
        <f t="shared" si="67"/>
        <v>164.99942906057328</v>
      </c>
      <c r="AO49" s="200">
        <f t="shared" si="83"/>
        <v>16.499942906057328</v>
      </c>
      <c r="AP49" s="114"/>
      <c r="AQ49" s="1"/>
      <c r="AR49" s="449" t="s">
        <v>45</v>
      </c>
      <c r="AS49" s="450"/>
      <c r="AT49" s="29">
        <v>0.09</v>
      </c>
      <c r="AU49" s="30"/>
      <c r="AV49" s="31"/>
      <c r="AW49" s="19"/>
      <c r="AX49" s="32">
        <f>SUM(AX42:AX48)</f>
        <v>49128.466604637048</v>
      </c>
      <c r="AY49" s="2"/>
      <c r="AZ49" s="2"/>
    </row>
    <row r="50" spans="1:52" x14ac:dyDescent="0.2">
      <c r="A50" s="125"/>
      <c r="B50" s="129" t="s">
        <v>134</v>
      </c>
      <c r="C50" s="339">
        <v>360</v>
      </c>
      <c r="D50" s="329">
        <v>10</v>
      </c>
      <c r="E50" s="339" t="str">
        <f t="shared" si="14"/>
        <v>3,6 kg</v>
      </c>
      <c r="F50" s="329">
        <v>5</v>
      </c>
      <c r="G50" s="111">
        <v>1</v>
      </c>
      <c r="H50" s="354">
        <f t="shared" si="0"/>
        <v>19.2</v>
      </c>
      <c r="I50" s="105">
        <f t="shared" si="15"/>
        <v>3.6959160535606546</v>
      </c>
      <c r="J50" s="140" t="s">
        <v>25</v>
      </c>
      <c r="K50" s="108">
        <f t="shared" si="25"/>
        <v>0.89999999999999991</v>
      </c>
      <c r="L50" s="103"/>
      <c r="M50" s="107">
        <f t="shared" si="74"/>
        <v>0</v>
      </c>
      <c r="N50" s="139"/>
      <c r="O50" s="165">
        <f t="shared" si="26"/>
        <v>0</v>
      </c>
      <c r="P50" s="103" t="s">
        <v>25</v>
      </c>
      <c r="Q50" s="142">
        <f t="shared" si="23"/>
        <v>3</v>
      </c>
      <c r="R50" s="191">
        <f>H50+I50+K50+M50+O50+Q50</f>
        <v>26.795916053560653</v>
      </c>
      <c r="S50" s="192">
        <v>0.3</v>
      </c>
      <c r="T50" s="196">
        <f t="shared" si="16"/>
        <v>38.279880076515219</v>
      </c>
      <c r="U50" s="193">
        <v>0.02</v>
      </c>
      <c r="V50" s="104">
        <f t="shared" si="6"/>
        <v>2.3299956175549315</v>
      </c>
      <c r="W50" s="195">
        <v>0.1</v>
      </c>
      <c r="X50" s="194">
        <f t="shared" si="7"/>
        <v>11.649978087774658</v>
      </c>
      <c r="Y50" s="193">
        <v>0.12</v>
      </c>
      <c r="Z50" s="104">
        <f t="shared" si="8"/>
        <v>13.979973705329588</v>
      </c>
      <c r="AA50" s="314">
        <v>4.4999999999999998E-2</v>
      </c>
      <c r="AB50" s="132">
        <f t="shared" si="9"/>
        <v>5.2424901394985959</v>
      </c>
      <c r="AC50" s="152">
        <v>6.3E-2</v>
      </c>
      <c r="AD50" s="107">
        <f t="shared" si="17"/>
        <v>7.3394861952980346</v>
      </c>
      <c r="AE50" s="195"/>
      <c r="AF50" s="194">
        <f t="shared" si="10"/>
        <v>0</v>
      </c>
      <c r="AG50" s="193"/>
      <c r="AH50" s="104">
        <f t="shared" si="11"/>
        <v>0</v>
      </c>
      <c r="AI50" s="195"/>
      <c r="AJ50" s="194">
        <f t="shared" si="12"/>
        <v>0</v>
      </c>
      <c r="AK50" s="110">
        <v>0.3234167203740439</v>
      </c>
      <c r="AL50" s="107">
        <f t="shared" si="13"/>
        <v>37.67797705577555</v>
      </c>
      <c r="AM50" s="191">
        <f t="shared" si="18"/>
        <v>109.59527834218869</v>
      </c>
      <c r="AN50" s="196">
        <f t="shared" si="19"/>
        <v>116.49978087774657</v>
      </c>
      <c r="AO50" s="197">
        <f t="shared" si="43"/>
        <v>11.649978087774658</v>
      </c>
      <c r="AP50" s="198"/>
      <c r="AQ50" s="1"/>
      <c r="AR50" s="421" t="s">
        <v>46</v>
      </c>
      <c r="AS50" s="422"/>
      <c r="AT50" s="15">
        <v>1.1499999999999999</v>
      </c>
      <c r="AU50" s="30"/>
      <c r="AV50" s="31"/>
      <c r="AW50" s="19"/>
      <c r="AX50" s="31"/>
      <c r="AY50" s="2"/>
      <c r="AZ50" s="2"/>
    </row>
    <row r="51" spans="1:52" ht="17" thickBot="1" x14ac:dyDescent="0.25">
      <c r="A51" s="125"/>
      <c r="B51" s="129" t="s">
        <v>135</v>
      </c>
      <c r="C51" s="339">
        <v>360</v>
      </c>
      <c r="D51" s="329">
        <v>10</v>
      </c>
      <c r="E51" s="339" t="str">
        <f t="shared" si="14"/>
        <v>3,6 kg</v>
      </c>
      <c r="F51" s="329">
        <v>5</v>
      </c>
      <c r="G51" s="111">
        <v>2</v>
      </c>
      <c r="H51" s="354">
        <f t="shared" si="0"/>
        <v>40.799999999999997</v>
      </c>
      <c r="I51" s="105">
        <f t="shared" si="15"/>
        <v>3.6959160535606546</v>
      </c>
      <c r="J51" s="140" t="s">
        <v>25</v>
      </c>
      <c r="K51" s="108">
        <f t="shared" si="25"/>
        <v>0.89999999999999991</v>
      </c>
      <c r="L51" s="103"/>
      <c r="M51" s="107">
        <f t="shared" si="74"/>
        <v>0</v>
      </c>
      <c r="N51" s="139"/>
      <c r="O51" s="165">
        <f t="shared" si="26"/>
        <v>0</v>
      </c>
      <c r="P51" s="103" t="s">
        <v>25</v>
      </c>
      <c r="Q51" s="142">
        <f t="shared" si="23"/>
        <v>3</v>
      </c>
      <c r="R51" s="135">
        <f t="shared" si="5"/>
        <v>48.395916053560647</v>
      </c>
      <c r="S51" s="145">
        <v>0.3</v>
      </c>
      <c r="T51" s="102">
        <f t="shared" si="16"/>
        <v>69.137022933658073</v>
      </c>
      <c r="U51" s="106">
        <v>0.02</v>
      </c>
      <c r="V51" s="107">
        <f t="shared" si="6"/>
        <v>3.2999885812114655</v>
      </c>
      <c r="W51" s="109">
        <v>0.1</v>
      </c>
      <c r="X51" s="108">
        <f t="shared" si="7"/>
        <v>16.499942906057328</v>
      </c>
      <c r="Y51" s="106">
        <v>0.12</v>
      </c>
      <c r="Z51" s="107">
        <f t="shared" si="8"/>
        <v>19.799931487268793</v>
      </c>
      <c r="AA51" s="314">
        <v>4.4999999999999998E-2</v>
      </c>
      <c r="AB51" s="132">
        <f t="shared" si="9"/>
        <v>7.4249743077257975</v>
      </c>
      <c r="AC51" s="152">
        <v>6.3E-2</v>
      </c>
      <c r="AD51" s="107">
        <f t="shared" si="17"/>
        <v>10.394964030816116</v>
      </c>
      <c r="AE51" s="109"/>
      <c r="AF51" s="108">
        <f t="shared" si="10"/>
        <v>0</v>
      </c>
      <c r="AG51" s="106"/>
      <c r="AH51" s="107">
        <f t="shared" si="11"/>
        <v>0</v>
      </c>
      <c r="AI51" s="109"/>
      <c r="AJ51" s="108">
        <f t="shared" si="12"/>
        <v>0</v>
      </c>
      <c r="AK51" s="110">
        <v>0.23298628990845149</v>
      </c>
      <c r="AL51" s="107">
        <f t="shared" si="13"/>
        <v>38.4426048138357</v>
      </c>
      <c r="AM51" s="135">
        <f t="shared" si="18"/>
        <v>155.2205353344998</v>
      </c>
      <c r="AN51" s="102">
        <f t="shared" si="19"/>
        <v>164.99942906057328</v>
      </c>
      <c r="AO51" s="113">
        <f t="shared" si="43"/>
        <v>16.499942906057328</v>
      </c>
      <c r="AP51" s="114"/>
      <c r="AQ51" s="1"/>
      <c r="AR51" s="421" t="s">
        <v>103</v>
      </c>
      <c r="AS51" s="422"/>
      <c r="AT51" s="24">
        <v>1.4</v>
      </c>
      <c r="AU51" s="30"/>
      <c r="AV51" s="31"/>
      <c r="AW51" s="19"/>
      <c r="AX51" s="19"/>
      <c r="AY51" s="2"/>
      <c r="AZ51" s="2"/>
    </row>
    <row r="52" spans="1:52" ht="17" thickBot="1" x14ac:dyDescent="0.25">
      <c r="A52" s="125"/>
      <c r="B52" s="129" t="s">
        <v>136</v>
      </c>
      <c r="C52" s="339">
        <v>360</v>
      </c>
      <c r="D52" s="329">
        <v>10</v>
      </c>
      <c r="E52" s="339" t="str">
        <f t="shared" si="14"/>
        <v>3,6 kg</v>
      </c>
      <c r="F52" s="329">
        <v>5</v>
      </c>
      <c r="G52" s="111">
        <v>3</v>
      </c>
      <c r="H52" s="354">
        <f t="shared" si="0"/>
        <v>48.000000000000007</v>
      </c>
      <c r="I52" s="105">
        <f t="shared" si="15"/>
        <v>3.6959160535606546</v>
      </c>
      <c r="J52" s="140" t="s">
        <v>25</v>
      </c>
      <c r="K52" s="108">
        <f t="shared" si="25"/>
        <v>0.89999999999999991</v>
      </c>
      <c r="L52" s="103"/>
      <c r="M52" s="107">
        <f t="shared" si="74"/>
        <v>0</v>
      </c>
      <c r="N52" s="139"/>
      <c r="O52" s="165">
        <f t="shared" si="26"/>
        <v>0</v>
      </c>
      <c r="P52" s="103" t="s">
        <v>25</v>
      </c>
      <c r="Q52" s="142">
        <f t="shared" si="23"/>
        <v>3</v>
      </c>
      <c r="R52" s="135">
        <f>H52+I52+K52+M52+O52+Q52</f>
        <v>55.595916053560657</v>
      </c>
      <c r="S52" s="145">
        <v>0.3</v>
      </c>
      <c r="T52" s="102">
        <f t="shared" si="16"/>
        <v>79.422737219372365</v>
      </c>
      <c r="U52" s="106">
        <v>0.02</v>
      </c>
      <c r="V52" s="107">
        <f t="shared" si="6"/>
        <v>3.7899999496215315</v>
      </c>
      <c r="W52" s="109">
        <v>0.1</v>
      </c>
      <c r="X52" s="108">
        <f t="shared" si="7"/>
        <v>18.949999748107658</v>
      </c>
      <c r="Y52" s="106">
        <v>0.12</v>
      </c>
      <c r="Z52" s="107">
        <f t="shared" si="8"/>
        <v>22.739999697729189</v>
      </c>
      <c r="AA52" s="314">
        <v>4.4999999999999998E-2</v>
      </c>
      <c r="AB52" s="132">
        <f t="shared" si="9"/>
        <v>8.5274998866484459</v>
      </c>
      <c r="AC52" s="152">
        <v>6.3E-2</v>
      </c>
      <c r="AD52" s="107">
        <f t="shared" si="17"/>
        <v>11.938499841307824</v>
      </c>
      <c r="AE52" s="109"/>
      <c r="AF52" s="108">
        <f t="shared" si="10"/>
        <v>0</v>
      </c>
      <c r="AG52" s="106"/>
      <c r="AH52" s="107">
        <f t="shared" si="11"/>
        <v>0</v>
      </c>
      <c r="AI52" s="109"/>
      <c r="AJ52" s="108">
        <f t="shared" si="12"/>
        <v>0</v>
      </c>
      <c r="AK52" s="110">
        <v>0.23288264762481861</v>
      </c>
      <c r="AL52" s="107">
        <f t="shared" si="13"/>
        <v>44.131261138289574</v>
      </c>
      <c r="AM52" s="135">
        <f t="shared" si="18"/>
        <v>178.26904748925361</v>
      </c>
      <c r="AN52" s="102">
        <f t="shared" si="19"/>
        <v>189.49999748107658</v>
      </c>
      <c r="AO52" s="113">
        <f t="shared" si="43"/>
        <v>18.949999748107658</v>
      </c>
      <c r="AP52" s="114"/>
      <c r="AQ52" s="1"/>
      <c r="AR52" s="408" t="s">
        <v>47</v>
      </c>
      <c r="AS52" s="409"/>
      <c r="AT52" s="34">
        <v>3</v>
      </c>
      <c r="AU52" s="30"/>
      <c r="AV52" s="31"/>
      <c r="AW52" s="52" t="s">
        <v>48</v>
      </c>
      <c r="AX52" s="149">
        <f>AX49/(AX39*20)</f>
        <v>12.282116651159262</v>
      </c>
      <c r="AY52" s="2"/>
      <c r="AZ52" s="2"/>
    </row>
    <row r="53" spans="1:52" x14ac:dyDescent="0.2">
      <c r="A53" s="125"/>
      <c r="B53" s="129" t="s">
        <v>121</v>
      </c>
      <c r="C53" s="339">
        <v>360</v>
      </c>
      <c r="D53" s="329">
        <v>10</v>
      </c>
      <c r="E53" s="339" t="str">
        <f t="shared" si="14"/>
        <v>3,6 kg</v>
      </c>
      <c r="F53" s="329">
        <v>5</v>
      </c>
      <c r="G53" s="111">
        <v>4</v>
      </c>
      <c r="H53" s="107">
        <f t="shared" si="0"/>
        <v>40.799999999999997</v>
      </c>
      <c r="I53" s="105">
        <f t="shared" si="15"/>
        <v>3.6959160535606546</v>
      </c>
      <c r="J53" s="140" t="s">
        <v>25</v>
      </c>
      <c r="K53" s="108">
        <f t="shared" si="25"/>
        <v>0.89999999999999991</v>
      </c>
      <c r="L53" s="103"/>
      <c r="M53" s="107">
        <f t="shared" si="74"/>
        <v>0</v>
      </c>
      <c r="N53" s="139"/>
      <c r="O53" s="165">
        <f t="shared" si="26"/>
        <v>0</v>
      </c>
      <c r="P53" s="103" t="s">
        <v>25</v>
      </c>
      <c r="Q53" s="107">
        <f t="shared" si="23"/>
        <v>3</v>
      </c>
      <c r="R53" s="135">
        <f t="shared" ref="R53:R58" si="85">H53+I53+K53+M53+O53+Q53</f>
        <v>48.395916053560647</v>
      </c>
      <c r="S53" s="145">
        <v>0.3</v>
      </c>
      <c r="T53" s="102">
        <f t="shared" si="16"/>
        <v>69.137022933658073</v>
      </c>
      <c r="U53" s="106">
        <v>0.02</v>
      </c>
      <c r="V53" s="107">
        <f t="shared" si="6"/>
        <v>3.2999885812114655</v>
      </c>
      <c r="W53" s="109">
        <v>0.1</v>
      </c>
      <c r="X53" s="108">
        <f t="shared" si="7"/>
        <v>16.499942906057328</v>
      </c>
      <c r="Y53" s="106">
        <v>0.12</v>
      </c>
      <c r="Z53" s="107">
        <f t="shared" si="8"/>
        <v>19.799931487268793</v>
      </c>
      <c r="AA53" s="315">
        <v>4.4999999999999998E-2</v>
      </c>
      <c r="AB53" s="108">
        <f t="shared" si="9"/>
        <v>7.4249743077257975</v>
      </c>
      <c r="AC53" s="199">
        <v>6.3E-2</v>
      </c>
      <c r="AD53" s="107">
        <f t="shared" si="17"/>
        <v>10.394964030816116</v>
      </c>
      <c r="AE53" s="109"/>
      <c r="AF53" s="108">
        <f t="shared" si="10"/>
        <v>0</v>
      </c>
      <c r="AG53" s="106"/>
      <c r="AH53" s="107">
        <f t="shared" si="11"/>
        <v>0</v>
      </c>
      <c r="AI53" s="109"/>
      <c r="AJ53" s="108">
        <f t="shared" si="12"/>
        <v>0</v>
      </c>
      <c r="AK53" s="110">
        <v>0.23298628990845149</v>
      </c>
      <c r="AL53" s="107">
        <f t="shared" si="13"/>
        <v>38.4426048138357</v>
      </c>
      <c r="AM53" s="135">
        <f t="shared" si="18"/>
        <v>155.2205353344998</v>
      </c>
      <c r="AN53" s="102">
        <f t="shared" si="19"/>
        <v>164.99942906057328</v>
      </c>
      <c r="AO53" s="200">
        <f t="shared" si="43"/>
        <v>16.499942906057328</v>
      </c>
      <c r="AP53" s="114"/>
      <c r="AQ53" s="1"/>
      <c r="AR53" s="451"/>
      <c r="AS53" s="451"/>
      <c r="AT53" s="451"/>
      <c r="AU53" s="451"/>
      <c r="AV53" s="451"/>
      <c r="AW53" s="451"/>
      <c r="AX53" s="451"/>
      <c r="AY53" s="2"/>
      <c r="AZ53" s="2"/>
    </row>
    <row r="54" spans="1:52" ht="17" thickBot="1" x14ac:dyDescent="0.25">
      <c r="A54" s="125" t="s">
        <v>163</v>
      </c>
      <c r="B54" s="366" t="s">
        <v>150</v>
      </c>
      <c r="C54" s="367">
        <v>1050</v>
      </c>
      <c r="D54" s="368">
        <v>1</v>
      </c>
      <c r="E54" s="367" t="str">
        <f t="shared" si="14"/>
        <v>1,05 kg</v>
      </c>
      <c r="F54" s="368">
        <v>11</v>
      </c>
      <c r="G54" s="369"/>
      <c r="H54" s="370">
        <f t="shared" si="0"/>
        <v>0</v>
      </c>
      <c r="I54" s="371">
        <f>IF(F54=1,$AX$19,IF(F54=2,$AX$35,IF(F54=3,$AX$52,IF(F54=4,$AX$69,IF(F54=5,$AX$86,IF(F54=6,$AX$103,IF(F54=7,$AT$114,IF(F54=8,$AT$115,IF(F54=9,$AT$116,IF(F54=10,$AT$117,IF(F54=11,$AT$118,IF(F54=12,$AT$119))))))))))))/1000*C54*D54</f>
        <v>12.6</v>
      </c>
      <c r="J54" s="372" t="s">
        <v>25</v>
      </c>
      <c r="K54" s="373">
        <f t="shared" si="25"/>
        <v>3.1</v>
      </c>
      <c r="L54" s="374"/>
      <c r="M54" s="364">
        <f>IF(L54="S",IF(F54=1,$AT$17,IF(F54=2,$AT$33,IF(F54=3,$AT$50,IF(F54=4,$AT$67,IF(F54=5,$AT$84,IF(F54=6,$AT$101,IF(F54=7,$AX$115,IF(F54=8,$AX$115))))))))*$D54,0)</f>
        <v>0</v>
      </c>
      <c r="N54" s="375"/>
      <c r="O54" s="165">
        <f t="shared" si="26"/>
        <v>0</v>
      </c>
      <c r="P54" s="374"/>
      <c r="Q54" s="364">
        <f t="shared" si="23"/>
        <v>0</v>
      </c>
      <c r="R54" s="376">
        <f t="shared" si="85"/>
        <v>15.7</v>
      </c>
      <c r="S54" s="377">
        <v>0.3</v>
      </c>
      <c r="T54" s="378">
        <f t="shared" si="16"/>
        <v>22.428571428571431</v>
      </c>
      <c r="U54" s="379"/>
      <c r="V54" s="364">
        <f t="shared" si="6"/>
        <v>0</v>
      </c>
      <c r="W54" s="380">
        <v>0.05</v>
      </c>
      <c r="X54" s="373">
        <f t="shared" si="7"/>
        <v>1.9954245043213015</v>
      </c>
      <c r="Y54" s="379">
        <v>0.08</v>
      </c>
      <c r="Z54" s="364">
        <f t="shared" si="8"/>
        <v>3.1926792069140824</v>
      </c>
      <c r="AA54" s="381">
        <v>4.4999999999999998E-2</v>
      </c>
      <c r="AB54" s="382">
        <f t="shared" si="9"/>
        <v>1.7958820538891711</v>
      </c>
      <c r="AC54" s="383">
        <v>6.3E-2</v>
      </c>
      <c r="AD54" s="364">
        <f t="shared" si="17"/>
        <v>2.5142348754448398</v>
      </c>
      <c r="AE54" s="380"/>
      <c r="AF54" s="373">
        <f t="shared" si="10"/>
        <v>0</v>
      </c>
      <c r="AG54" s="379"/>
      <c r="AH54" s="364">
        <f t="shared" si="11"/>
        <v>0</v>
      </c>
      <c r="AI54" s="380"/>
      <c r="AJ54" s="373">
        <f t="shared" si="12"/>
        <v>0</v>
      </c>
      <c r="AK54" s="363">
        <v>0.2</v>
      </c>
      <c r="AL54" s="364">
        <f t="shared" si="13"/>
        <v>7.9816980172852059</v>
      </c>
      <c r="AM54" s="376">
        <f t="shared" si="18"/>
        <v>37.543264427493916</v>
      </c>
      <c r="AN54" s="378">
        <f t="shared" si="19"/>
        <v>39.908490086426028</v>
      </c>
      <c r="AO54" s="371">
        <f t="shared" si="43"/>
        <v>39.908490086426028</v>
      </c>
      <c r="AP54" s="378"/>
      <c r="AQ54" s="1"/>
      <c r="AR54" s="2"/>
      <c r="AS54" s="2"/>
      <c r="AT54" s="2"/>
      <c r="AU54" s="3"/>
      <c r="AV54" s="38"/>
      <c r="AW54" s="2"/>
      <c r="AX54" s="2"/>
      <c r="AY54" s="2"/>
      <c r="AZ54" s="2"/>
    </row>
    <row r="55" spans="1:52" ht="17" thickBot="1" x14ac:dyDescent="0.25">
      <c r="A55" s="125" t="s">
        <v>163</v>
      </c>
      <c r="B55" s="366" t="s">
        <v>161</v>
      </c>
      <c r="C55" s="367">
        <v>500</v>
      </c>
      <c r="D55" s="368">
        <v>1</v>
      </c>
      <c r="E55" s="367" t="str">
        <f t="shared" ref="E55" si="86">CONCATENATE((C55*D55)/1000," kg")</f>
        <v>0,5 kg</v>
      </c>
      <c r="F55" s="368">
        <v>9</v>
      </c>
      <c r="G55" s="369"/>
      <c r="H55" s="370">
        <f t="shared" ref="H55" si="87">(IF(F55=1,0,IF(F55=2,0,IF(F55=3,0,IF(F55=4,0,IF(F55=5,IF(G55=1,$AT$107,IF(G55=2,$AT$108,IF(G55=3,$AT$109,IF(G55=4,$AT$110)))),IF(F55=6,IF(G55=1,$AT$107,IF(G55=2,$AT$108,IF(G55=3,$AT$109,IF(G55=4,$AT$110))))))))))/1000*C55*D55)</f>
        <v>0</v>
      </c>
      <c r="I55" s="371">
        <f>IF(F55=1,$AX$19,IF(F55=2,$AX$35,IF(F55=3,$AX$52,IF(F55=4,$AX$69,IF(F55=5,$AX$86,IF(F55=6,$AX$103,IF(F55=7,$AT$114,IF(F55=8,$AT$115,IF(F55=9,$AT$116,IF(F55=10,$AT$117,IF(F55=11,$AT$118,IF(F55=12,$AT$119))))))))))))/1000*C55*D55</f>
        <v>6</v>
      </c>
      <c r="J55" s="372" t="s">
        <v>25</v>
      </c>
      <c r="K55" s="373">
        <f t="shared" ref="K55" si="88">IF(J55="s",IF(F55=1,$AT$16,IF(F55=2,$AT$32,IF(F55=3,$AT$49,IF(F55=4,$AT$66,IF(F55=5,$AT$83,IF(F55=6,$AT$100,IF(F55=7,$AX$114,IF(F55=8,$AX$114,IF(F55=9,$AX$117,IF(F55=10,$AX$117,IF(F55=11,$AX$120,IF(F55=12,$AX$120))))))))))))*D55,0)</f>
        <v>2.1</v>
      </c>
      <c r="L55" s="374"/>
      <c r="M55" s="364">
        <f>IF(L55="S",IF(F55=1,$AT$17,IF(F55=2,$AT$33,IF(F55=3,$AT$50,IF(F55=4,$AT$67,IF(F55=5,$AT$84,IF(F55=6,$AT$101,IF(F55=7,$AX$115,IF(F55=8,$AX$115))))))))*$D55,0)</f>
        <v>0</v>
      </c>
      <c r="N55" s="375"/>
      <c r="O55" s="165">
        <f t="shared" ref="O55" si="89">IF(N55="s",IF(F55=1,$AT$18,IF(F55=2,$AT$34,IF(F55=3,$AT$51,IF(F55=4,$AT$68,IF(F55=5,$AT$85,IF(F55=6,$AV$102,IF(F55=7,$AX$115,IF(F55=8,$AX$115,IF(F55=9,$AX$118,IF(F55=10,$AX$118,IF(F55=11,$AX$121,IF(F55=12,$AX$121))))))))))))*D55,0)</f>
        <v>0</v>
      </c>
      <c r="P55" s="374"/>
      <c r="Q55" s="364">
        <f t="shared" ref="Q55" si="90">IF(P55="s",IF(F55=1,$AT$19,IF(F55=2,$AT$35,IF(F55=3,$AT$52,IF(F55=4,$AT$69,IF(F55=5,$AT$86,IF(F55=6,$AT$103,IF(F55=7,$AX$116,IF(F55=8,$AX$116,IF(F55=9,$AX$119,IF(F55=10,$AX$119,IF(F55=11,$AX$122,IF(F55=12,$AX$122)))))))))))),0)</f>
        <v>0</v>
      </c>
      <c r="R55" s="376">
        <f t="shared" si="85"/>
        <v>8.1</v>
      </c>
      <c r="S55" s="377">
        <v>0.3</v>
      </c>
      <c r="T55" s="378">
        <f t="shared" ref="T55" si="91">R55/(1-S55)</f>
        <v>11.571428571428571</v>
      </c>
      <c r="U55" s="379"/>
      <c r="V55" s="364">
        <f t="shared" ref="V55" si="92">U55*AN55</f>
        <v>0</v>
      </c>
      <c r="W55" s="380">
        <v>0.05</v>
      </c>
      <c r="X55" s="373">
        <f t="shared" ref="X55" si="93">W55*AN55</f>
        <v>1.0294865277071681</v>
      </c>
      <c r="Y55" s="379">
        <v>0.08</v>
      </c>
      <c r="Z55" s="364">
        <f t="shared" ref="Z55" si="94">Y55*AN55</f>
        <v>1.647178444331469</v>
      </c>
      <c r="AA55" s="381">
        <v>4.4999999999999998E-2</v>
      </c>
      <c r="AB55" s="382">
        <f t="shared" ref="AB55" si="95">AA55*AN55</f>
        <v>0.92653787493645123</v>
      </c>
      <c r="AC55" s="383">
        <v>6.3E-2</v>
      </c>
      <c r="AD55" s="364">
        <f t="shared" ref="AD55" si="96">AN55*AC55</f>
        <v>1.2971530249110319</v>
      </c>
      <c r="AE55" s="380"/>
      <c r="AF55" s="373">
        <f t="shared" ref="AF55" si="97">AE55*AN55</f>
        <v>0</v>
      </c>
      <c r="AG55" s="379"/>
      <c r="AH55" s="364">
        <f t="shared" ref="AH55" si="98">AG55*AN55</f>
        <v>0</v>
      </c>
      <c r="AI55" s="380"/>
      <c r="AJ55" s="373">
        <f t="shared" ref="AJ55" si="99">AI55*AN55</f>
        <v>0</v>
      </c>
      <c r="AK55" s="363">
        <v>0.2</v>
      </c>
      <c r="AL55" s="364">
        <f t="shared" ref="AL55" si="100">AK55*AN55</f>
        <v>4.1179461108286723</v>
      </c>
      <c r="AM55" s="376">
        <f t="shared" ref="AM55" si="101">AN55/(1+AC55)</f>
        <v>19.369454895713417</v>
      </c>
      <c r="AN55" s="378">
        <f t="shared" ref="AN55" si="102">T55/(1-(IF(U55&gt;0,U55,0)+IF(W55&gt;0,W55,0)+IF(Y55&gt;0,Y55,0)+IF(AA55&gt;0,AA55,0)+IF(AC55&gt;0,AC55,0)+IF(AE55&gt;0,AE55,0)+IF(AG55&gt;0,AG55,0)+IF(AI55&gt;0,AI55,0)+IF(AK55&gt;0,AK55,0)))</f>
        <v>20.589730554143362</v>
      </c>
      <c r="AO55" s="371">
        <f t="shared" ref="AO55" si="103">AN55/D55</f>
        <v>20.589730554143362</v>
      </c>
      <c r="AP55" s="378"/>
      <c r="AQ55" s="1"/>
      <c r="AR55" s="413" t="s">
        <v>56</v>
      </c>
      <c r="AS55" s="414"/>
      <c r="AT55" s="414"/>
      <c r="AU55" s="414"/>
      <c r="AV55" s="414"/>
      <c r="AW55" s="414"/>
      <c r="AX55" s="415"/>
      <c r="AY55" s="2"/>
      <c r="AZ55" s="2"/>
    </row>
    <row r="56" spans="1:52" ht="17" thickBot="1" x14ac:dyDescent="0.25">
      <c r="A56" s="125" t="s">
        <v>163</v>
      </c>
      <c r="B56" s="262" t="s">
        <v>162</v>
      </c>
      <c r="C56" s="340">
        <v>300</v>
      </c>
      <c r="D56" s="330">
        <v>10</v>
      </c>
      <c r="E56" s="340" t="str">
        <f t="shared" si="14"/>
        <v>3 kg</v>
      </c>
      <c r="F56" s="330">
        <v>4</v>
      </c>
      <c r="G56" s="263"/>
      <c r="H56" s="355">
        <f t="shared" si="0"/>
        <v>0</v>
      </c>
      <c r="I56" s="371">
        <f t="shared" ref="I56:I58" si="104">IF(F56=1,$AX$19,IF(F56=2,$AX$35,IF(F56=3,$AX$52,IF(F56=4,$AX$69,IF(F56=5,$AX$86,IF(F56=6,$AX$103,IF(F56=7,$AT$114,IF(F56=8,$AT$115,IF(F56=9,$AT$116,IF(F56=10,$AT$117,IF(F56=11,$AT$118,IF(F56=12,$AT$119))))))))))))/1000*C56*D56</f>
        <v>31.944032455803892</v>
      </c>
      <c r="J56" s="264" t="s">
        <v>25</v>
      </c>
      <c r="K56" s="267">
        <f t="shared" si="25"/>
        <v>0.89999999999999991</v>
      </c>
      <c r="L56" s="266"/>
      <c r="M56" s="265">
        <f t="shared" si="2"/>
        <v>0</v>
      </c>
      <c r="N56" s="269"/>
      <c r="O56" s="165">
        <f t="shared" si="26"/>
        <v>0</v>
      </c>
      <c r="P56" s="266"/>
      <c r="Q56" s="268">
        <f t="shared" si="23"/>
        <v>0</v>
      </c>
      <c r="R56" s="270">
        <f t="shared" si="85"/>
        <v>32.844032455803891</v>
      </c>
      <c r="S56" s="271">
        <v>0.3</v>
      </c>
      <c r="T56" s="277">
        <f t="shared" si="16"/>
        <v>46.920046365434132</v>
      </c>
      <c r="U56" s="273"/>
      <c r="V56" s="265">
        <f t="shared" si="6"/>
        <v>0</v>
      </c>
      <c r="W56" s="276">
        <v>0.05</v>
      </c>
      <c r="X56" s="267">
        <f t="shared" si="7"/>
        <v>5.7496740339128358</v>
      </c>
      <c r="Y56" s="273">
        <v>0.08</v>
      </c>
      <c r="Z56" s="265">
        <f t="shared" si="8"/>
        <v>9.1994784542605377</v>
      </c>
      <c r="AA56" s="316">
        <v>4.4999999999999998E-2</v>
      </c>
      <c r="AB56" s="275">
        <f t="shared" si="9"/>
        <v>5.1747066305215519</v>
      </c>
      <c r="AC56" s="274">
        <v>6.3E-2</v>
      </c>
      <c r="AD56" s="265">
        <f t="shared" si="17"/>
        <v>7.244589282730173</v>
      </c>
      <c r="AE56" s="276"/>
      <c r="AF56" s="267">
        <f t="shared" si="10"/>
        <v>0</v>
      </c>
      <c r="AG56" s="273"/>
      <c r="AH56" s="265">
        <f t="shared" si="11"/>
        <v>0</v>
      </c>
      <c r="AI56" s="276"/>
      <c r="AJ56" s="267">
        <f t="shared" si="12"/>
        <v>0</v>
      </c>
      <c r="AK56" s="363">
        <v>0.35397646606842909</v>
      </c>
      <c r="AL56" s="364">
        <f t="shared" si="13"/>
        <v>40.704985911397493</v>
      </c>
      <c r="AM56" s="270">
        <f t="shared" si="18"/>
        <v>108.17825087324245</v>
      </c>
      <c r="AN56" s="277">
        <f t="shared" si="19"/>
        <v>114.99348067825672</v>
      </c>
      <c r="AO56" s="272">
        <f t="shared" si="43"/>
        <v>11.499348067825672</v>
      </c>
      <c r="AP56" s="278"/>
      <c r="AQ56" s="1"/>
      <c r="AR56" s="428" t="s">
        <v>28</v>
      </c>
      <c r="AS56" s="429"/>
      <c r="AT56" s="429"/>
      <c r="AU56" s="429"/>
      <c r="AV56" s="429"/>
      <c r="AW56" s="430"/>
      <c r="AX56" s="4">
        <v>200</v>
      </c>
      <c r="AY56" s="2"/>
      <c r="AZ56" s="2"/>
    </row>
    <row r="57" spans="1:52" ht="17" thickBot="1" x14ac:dyDescent="0.25">
      <c r="A57" s="125" t="s">
        <v>163</v>
      </c>
      <c r="B57" s="248" t="s">
        <v>146</v>
      </c>
      <c r="C57" s="341">
        <v>300</v>
      </c>
      <c r="D57" s="343">
        <v>10</v>
      </c>
      <c r="E57" s="341" t="str">
        <f t="shared" si="14"/>
        <v>3 kg</v>
      </c>
      <c r="F57" s="343">
        <v>5</v>
      </c>
      <c r="G57" s="249">
        <v>4</v>
      </c>
      <c r="H57" s="253">
        <f t="shared" si="0"/>
        <v>34</v>
      </c>
      <c r="I57" s="371">
        <f t="shared" si="104"/>
        <v>3.0799300446338789</v>
      </c>
      <c r="J57" s="251" t="s">
        <v>25</v>
      </c>
      <c r="K57" s="250">
        <f t="shared" si="25"/>
        <v>0.89999999999999991</v>
      </c>
      <c r="L57" s="252"/>
      <c r="M57" s="253">
        <f t="shared" si="2"/>
        <v>0</v>
      </c>
      <c r="N57" s="254"/>
      <c r="O57" s="165">
        <f t="shared" si="26"/>
        <v>0</v>
      </c>
      <c r="P57" s="252"/>
      <c r="Q57" s="253">
        <f t="shared" si="23"/>
        <v>0</v>
      </c>
      <c r="R57" s="255">
        <f t="shared" si="85"/>
        <v>37.979930044633875</v>
      </c>
      <c r="S57" s="256">
        <v>0.3</v>
      </c>
      <c r="T57" s="260">
        <f t="shared" si="16"/>
        <v>54.25704292090554</v>
      </c>
      <c r="U57" s="257"/>
      <c r="V57" s="253">
        <f t="shared" si="6"/>
        <v>0</v>
      </c>
      <c r="W57" s="258">
        <v>0.05</v>
      </c>
      <c r="X57" s="250">
        <f t="shared" si="7"/>
        <v>4.8271390499026277</v>
      </c>
      <c r="Y57" s="257">
        <v>0.08</v>
      </c>
      <c r="Z57" s="253">
        <f t="shared" si="8"/>
        <v>7.7234224798442037</v>
      </c>
      <c r="AA57" s="259">
        <v>4.4999999999999998E-2</v>
      </c>
      <c r="AB57" s="261">
        <f t="shared" si="9"/>
        <v>4.344425144912365</v>
      </c>
      <c r="AC57" s="279">
        <v>6.3E-2</v>
      </c>
      <c r="AD57" s="253">
        <f t="shared" si="17"/>
        <v>6.082195202877311</v>
      </c>
      <c r="AE57" s="258"/>
      <c r="AF57" s="250">
        <f t="shared" si="10"/>
        <v>0</v>
      </c>
      <c r="AG57" s="257"/>
      <c r="AH57" s="253">
        <f t="shared" si="11"/>
        <v>0</v>
      </c>
      <c r="AI57" s="258"/>
      <c r="AJ57" s="250">
        <f t="shared" si="12"/>
        <v>0</v>
      </c>
      <c r="AK57" s="363">
        <v>0.2</v>
      </c>
      <c r="AL57" s="253">
        <f t="shared" si="13"/>
        <v>19.308556199610511</v>
      </c>
      <c r="AM57" s="299">
        <f t="shared" si="18"/>
        <v>90.821054560726765</v>
      </c>
      <c r="AN57" s="261">
        <f t="shared" si="19"/>
        <v>96.54278099805255</v>
      </c>
      <c r="AO57" s="280">
        <f t="shared" si="43"/>
        <v>9.6542780998052553</v>
      </c>
      <c r="AP57" s="292"/>
      <c r="AQ57" s="1"/>
      <c r="AR57" s="442" t="s">
        <v>30</v>
      </c>
      <c r="AS57" s="443"/>
      <c r="AT57" s="444" t="s">
        <v>31</v>
      </c>
      <c r="AU57" s="414"/>
      <c r="AV57" s="414"/>
      <c r="AW57" s="444" t="s">
        <v>32</v>
      </c>
      <c r="AX57" s="415"/>
      <c r="AY57" s="2"/>
      <c r="AZ57" s="2"/>
    </row>
    <row r="58" spans="1:52" ht="17" thickBot="1" x14ac:dyDescent="0.25">
      <c r="A58" s="126" t="s">
        <v>163</v>
      </c>
      <c r="B58" s="320" t="s">
        <v>147</v>
      </c>
      <c r="C58" s="342">
        <v>300</v>
      </c>
      <c r="D58" s="344">
        <v>10</v>
      </c>
      <c r="E58" s="342" t="str">
        <f t="shared" ref="E58" si="105">CONCATENATE((C58*D58)/1000," kg")</f>
        <v>3 kg</v>
      </c>
      <c r="F58" s="344">
        <v>5</v>
      </c>
      <c r="G58" s="356">
        <v>2</v>
      </c>
      <c r="H58" s="296">
        <f t="shared" ref="H58" si="106">(IF(F58=1,0,IF(F58=2,0,IF(F58=3,0,IF(F58=4,0,IF(F58=5,IF(G58=1,$AT$107,IF(G58=2,$AT$108,IF(G58=3,$AT$109,IF(G58=4,$AT$110)))),IF(F58=6,IF(G58=1,$AT$107,IF(G58=2,$AT$108,IF(G58=3,$AT$109,IF(G58=4,$AT$110))))))))))/1000*C58*D58)</f>
        <v>34</v>
      </c>
      <c r="I58" s="371">
        <f t="shared" si="104"/>
        <v>3.0799300446338789</v>
      </c>
      <c r="J58" s="358" t="s">
        <v>25</v>
      </c>
      <c r="K58" s="297">
        <f t="shared" si="25"/>
        <v>0.89999999999999991</v>
      </c>
      <c r="L58" s="359"/>
      <c r="M58" s="305">
        <f t="shared" si="2"/>
        <v>0</v>
      </c>
      <c r="N58" s="357"/>
      <c r="O58" s="165">
        <f t="shared" si="26"/>
        <v>0</v>
      </c>
      <c r="P58" s="359"/>
      <c r="Q58" s="305">
        <f t="shared" si="23"/>
        <v>0</v>
      </c>
      <c r="R58" s="360">
        <f t="shared" si="85"/>
        <v>37.979930044633875</v>
      </c>
      <c r="S58" s="301">
        <v>0.3</v>
      </c>
      <c r="T58" s="298">
        <f t="shared" ref="T58" si="107">R58/(1-S58)</f>
        <v>54.25704292090554</v>
      </c>
      <c r="U58" s="304"/>
      <c r="V58" s="305">
        <f t="shared" ref="V58" si="108">U58*AN58</f>
        <v>0</v>
      </c>
      <c r="W58" s="303">
        <v>0.05</v>
      </c>
      <c r="X58" s="297">
        <f t="shared" ref="X58" si="109">W58*AN58</f>
        <v>4.8271390499026277</v>
      </c>
      <c r="Y58" s="304">
        <v>0.08</v>
      </c>
      <c r="Z58" s="305">
        <f t="shared" ref="Z58" si="110">Y58*AN58</f>
        <v>7.7234224798442037</v>
      </c>
      <c r="AA58" s="317">
        <v>4.4999999999999998E-2</v>
      </c>
      <c r="AB58" s="294">
        <f t="shared" ref="AB58" si="111">AA58*AN58</f>
        <v>4.344425144912365</v>
      </c>
      <c r="AC58" s="295">
        <v>6.3E-2</v>
      </c>
      <c r="AD58" s="305">
        <f t="shared" ref="AD58" si="112">AN58*AC58</f>
        <v>6.082195202877311</v>
      </c>
      <c r="AE58" s="303"/>
      <c r="AF58" s="297">
        <f t="shared" ref="AF58" si="113">AE58*AN58</f>
        <v>0</v>
      </c>
      <c r="AG58" s="304"/>
      <c r="AH58" s="305">
        <f t="shared" ref="AH58" si="114">AG58*AN58</f>
        <v>0</v>
      </c>
      <c r="AI58" s="303"/>
      <c r="AJ58" s="297">
        <f t="shared" ref="AJ58" si="115">AI58*AN58</f>
        <v>0</v>
      </c>
      <c r="AK58" s="365">
        <v>0.2</v>
      </c>
      <c r="AL58" s="305">
        <f t="shared" ref="AL58" si="116">AK58*AN58</f>
        <v>19.308556199610511</v>
      </c>
      <c r="AM58" s="300">
        <f t="shared" ref="AM58" si="117">AN58/(1+AC58)</f>
        <v>90.821054560726765</v>
      </c>
      <c r="AN58" s="294">
        <f t="shared" ref="AN58" si="118">T58/(1-(IF(U58&gt;0,U58,0)+IF(W58&gt;0,W58,0)+IF(Y58&gt;0,Y58,0)+IF(AA58&gt;0,AA58,0)+IF(AC58&gt;0,AC58,0)+IF(AE58&gt;0,AE58,0)+IF(AG58&gt;0,AG58,0)+IF(AI58&gt;0,AI58,0)+IF(AK58&gt;0,AK58,0)))</f>
        <v>96.54278099805255</v>
      </c>
      <c r="AO58" s="293">
        <f t="shared" ref="AO58" si="119">AN58/D58</f>
        <v>9.6542780998052553</v>
      </c>
      <c r="AP58" s="296"/>
      <c r="AQ58" s="1"/>
      <c r="AR58" s="445"/>
      <c r="AS58" s="446"/>
      <c r="AT58" s="16" t="s">
        <v>33</v>
      </c>
      <c r="AU58" s="16" t="s">
        <v>34</v>
      </c>
      <c r="AV58" s="16" t="s">
        <v>35</v>
      </c>
      <c r="AW58" s="39" t="s">
        <v>36</v>
      </c>
      <c r="AX58" s="17" t="s">
        <v>37</v>
      </c>
      <c r="AY58" s="2"/>
      <c r="AZ58" s="2"/>
    </row>
    <row r="59" spans="1:52" x14ac:dyDescent="0.2">
      <c r="A59" s="2"/>
      <c r="B59" s="2"/>
      <c r="C59" s="30"/>
      <c r="D59" s="30"/>
      <c r="E59" s="30"/>
      <c r="F59" s="30"/>
      <c r="G59" s="30"/>
      <c r="H59" s="247"/>
      <c r="I59" s="36"/>
      <c r="J59" s="36"/>
      <c r="K59" s="2"/>
      <c r="L59" s="2"/>
      <c r="M59" s="2"/>
      <c r="N59" s="2"/>
      <c r="O59" s="2"/>
      <c r="P59" s="2"/>
      <c r="Q59" s="2"/>
      <c r="R59" s="2"/>
      <c r="S59" s="2"/>
      <c r="T59" s="2"/>
      <c r="U59" s="51"/>
      <c r="V59" s="2"/>
      <c r="W59" s="2"/>
      <c r="X59" s="2"/>
      <c r="Y59" s="2"/>
      <c r="Z59" s="2"/>
      <c r="AA59" s="2"/>
      <c r="AB59" s="2"/>
      <c r="AC59" s="2"/>
      <c r="AD59" s="153"/>
      <c r="AE59" s="2"/>
      <c r="AF59" s="2"/>
      <c r="AG59" s="51"/>
      <c r="AH59" s="2"/>
      <c r="AI59" s="51"/>
      <c r="AJ59" s="2"/>
      <c r="AK59" s="51"/>
      <c r="AL59" s="2"/>
      <c r="AM59" s="2"/>
      <c r="AN59" s="2"/>
      <c r="AO59" s="2"/>
      <c r="AP59" s="2"/>
      <c r="AQ59" s="1"/>
      <c r="AR59" s="406" t="s">
        <v>51</v>
      </c>
      <c r="AS59" s="407"/>
      <c r="AT59" s="12">
        <f>57.7/150*AX56</f>
        <v>76.933333333333337</v>
      </c>
      <c r="AU59" s="12">
        <f>AT59*5</f>
        <v>384.66666666666669</v>
      </c>
      <c r="AV59" s="13">
        <f>AT59*20</f>
        <v>1538.6666666666667</v>
      </c>
      <c r="AW59" s="14">
        <v>6.8</v>
      </c>
      <c r="AX59" s="15">
        <f>AV59*AW59</f>
        <v>10462.933333333334</v>
      </c>
      <c r="AY59" s="2"/>
      <c r="AZ59" s="2"/>
    </row>
    <row r="60" spans="1:52" x14ac:dyDescent="0.2">
      <c r="A60" s="2"/>
      <c r="B60" s="2"/>
      <c r="C60" s="30"/>
      <c r="D60" s="30"/>
      <c r="E60" s="30"/>
      <c r="F60" s="30"/>
      <c r="G60" s="30"/>
      <c r="H60" s="30"/>
      <c r="I60" s="36"/>
      <c r="J60" s="36"/>
      <c r="K60" s="2"/>
      <c r="L60" s="2"/>
      <c r="M60" s="2"/>
      <c r="N60" s="2"/>
      <c r="O60" s="2"/>
      <c r="P60" s="2"/>
      <c r="Q60" s="2"/>
      <c r="R60" s="2"/>
      <c r="S60" s="2"/>
      <c r="T60" s="2"/>
      <c r="U60" s="51"/>
      <c r="V60" s="2"/>
      <c r="W60" s="2"/>
      <c r="X60" s="2"/>
      <c r="Y60" s="2"/>
      <c r="Z60" s="2"/>
      <c r="AA60" s="2"/>
      <c r="AB60" s="2"/>
      <c r="AC60" s="2"/>
      <c r="AD60" s="153"/>
      <c r="AE60" s="2"/>
      <c r="AF60" s="2"/>
      <c r="AG60" s="51"/>
      <c r="AH60" s="2"/>
      <c r="AI60" s="51"/>
      <c r="AJ60" s="2"/>
      <c r="AK60" s="51"/>
      <c r="AL60" s="2"/>
      <c r="AM60" s="2"/>
      <c r="AN60" s="2"/>
      <c r="AO60" s="2"/>
      <c r="AP60" s="2"/>
      <c r="AQ60" s="1"/>
      <c r="AR60" s="406" t="s">
        <v>52</v>
      </c>
      <c r="AS60" s="407"/>
      <c r="AT60" s="12">
        <f>AX56/7.62</f>
        <v>26.246719160104988</v>
      </c>
      <c r="AU60" s="12">
        <f t="shared" ref="AU60:AU61" si="120">AT60*5</f>
        <v>131.23359580052494</v>
      </c>
      <c r="AV60" s="13">
        <f t="shared" ref="AV60" si="121">AT60*20</f>
        <v>524.93438320209975</v>
      </c>
      <c r="AW60" s="14">
        <v>40</v>
      </c>
      <c r="AX60" s="15">
        <f t="shared" ref="AX60:AX63" si="122">AV60*AW60</f>
        <v>20997.375328083988</v>
      </c>
      <c r="AY60" s="2"/>
      <c r="AZ60" s="2"/>
    </row>
    <row r="61" spans="1:52" x14ac:dyDescent="0.2">
      <c r="A61" s="2"/>
      <c r="B61" s="2"/>
      <c r="C61" s="30"/>
      <c r="D61" s="30"/>
      <c r="E61" s="30"/>
      <c r="F61" s="30"/>
      <c r="G61" s="30"/>
      <c r="H61" s="30"/>
      <c r="I61" s="36"/>
      <c r="J61" s="36"/>
      <c r="K61" s="2"/>
      <c r="L61" s="2"/>
      <c r="M61" s="2"/>
      <c r="N61" s="2"/>
      <c r="O61" s="2"/>
      <c r="P61" s="2"/>
      <c r="Q61" s="2"/>
      <c r="R61" s="2"/>
      <c r="S61" s="2"/>
      <c r="T61" s="2"/>
      <c r="U61" s="51"/>
      <c r="V61" s="2"/>
      <c r="W61" s="2"/>
      <c r="X61" s="2"/>
      <c r="Y61" s="2"/>
      <c r="Z61" s="2"/>
      <c r="AA61" s="2"/>
      <c r="AB61" s="2"/>
      <c r="AC61" s="2"/>
      <c r="AD61" s="153"/>
      <c r="AE61" s="2"/>
      <c r="AF61" s="2"/>
      <c r="AG61" s="51"/>
      <c r="AH61" s="2"/>
      <c r="AI61" s="51"/>
      <c r="AJ61" s="2"/>
      <c r="AK61" s="51"/>
      <c r="AL61" s="2"/>
      <c r="AM61" s="2"/>
      <c r="AN61" s="2"/>
      <c r="AO61" s="2"/>
      <c r="AP61" s="2"/>
      <c r="AQ61" s="1"/>
      <c r="AR61" s="406" t="s">
        <v>53</v>
      </c>
      <c r="AS61" s="407"/>
      <c r="AT61" s="12">
        <f>AX56/2.095</f>
        <v>95.465393794749389</v>
      </c>
      <c r="AU61" s="12">
        <f t="shared" si="120"/>
        <v>477.32696897374694</v>
      </c>
      <c r="AV61" s="13">
        <f>AT61*20</f>
        <v>1909.3078758949878</v>
      </c>
      <c r="AW61" s="14">
        <v>4.75</v>
      </c>
      <c r="AX61" s="15">
        <f t="shared" si="122"/>
        <v>9069.2124105011917</v>
      </c>
      <c r="AY61" s="2"/>
      <c r="AZ61" s="2"/>
    </row>
    <row r="62" spans="1:52" x14ac:dyDescent="0.2">
      <c r="A62" s="2"/>
      <c r="B62" s="2"/>
      <c r="C62" s="30"/>
      <c r="D62" s="30"/>
      <c r="E62" s="30"/>
      <c r="F62" s="30"/>
      <c r="G62" s="30"/>
      <c r="H62" s="30"/>
      <c r="I62" s="36"/>
      <c r="J62" s="36"/>
      <c r="K62" s="2"/>
      <c r="L62" s="2"/>
      <c r="M62" s="2"/>
      <c r="N62" s="2"/>
      <c r="O62" s="2"/>
      <c r="P62" s="2"/>
      <c r="Q62" s="2"/>
      <c r="R62" s="2"/>
      <c r="S62" s="2"/>
      <c r="T62" s="2"/>
      <c r="U62" s="51"/>
      <c r="V62" s="2"/>
      <c r="W62" s="2"/>
      <c r="X62" s="2"/>
      <c r="Y62" s="2"/>
      <c r="Z62" s="2"/>
      <c r="AA62" s="2"/>
      <c r="AB62" s="2"/>
      <c r="AC62" s="2"/>
      <c r="AD62" s="153"/>
      <c r="AE62" s="2"/>
      <c r="AF62" s="2"/>
      <c r="AG62" s="51"/>
      <c r="AH62" s="2"/>
      <c r="AI62" s="51"/>
      <c r="AJ62" s="2"/>
      <c r="AK62" s="51"/>
      <c r="AL62" s="2"/>
      <c r="AM62" s="2"/>
      <c r="AN62" s="2"/>
      <c r="AO62" s="2"/>
      <c r="AP62" s="2"/>
      <c r="AQ62" s="1"/>
      <c r="AR62" s="406" t="s">
        <v>54</v>
      </c>
      <c r="AS62" s="407"/>
      <c r="AT62" s="12"/>
      <c r="AU62" s="12"/>
      <c r="AV62" s="13"/>
      <c r="AW62" s="14"/>
      <c r="AX62" s="15">
        <f t="shared" si="122"/>
        <v>0</v>
      </c>
      <c r="AY62" s="2"/>
      <c r="AZ62" s="2"/>
    </row>
    <row r="63" spans="1:52" x14ac:dyDescent="0.2">
      <c r="A63" s="2"/>
      <c r="B63" s="2"/>
      <c r="C63" s="30"/>
      <c r="D63" s="30"/>
      <c r="E63" s="30"/>
      <c r="F63" s="30"/>
      <c r="G63" s="30"/>
      <c r="H63" s="30"/>
      <c r="I63" s="36"/>
      <c r="J63" s="36"/>
      <c r="K63" s="2"/>
      <c r="L63" s="2"/>
      <c r="M63" s="2"/>
      <c r="N63" s="2"/>
      <c r="O63" s="2"/>
      <c r="P63" s="2"/>
      <c r="Q63" s="2"/>
      <c r="R63" s="2"/>
      <c r="S63" s="2"/>
      <c r="T63" s="2"/>
      <c r="U63" s="51"/>
      <c r="V63" s="2"/>
      <c r="W63" s="2"/>
      <c r="X63" s="2"/>
      <c r="Y63" s="2"/>
      <c r="Z63" s="2"/>
      <c r="AA63" s="2"/>
      <c r="AB63" s="2"/>
      <c r="AC63" s="2"/>
      <c r="AD63" s="153"/>
      <c r="AE63" s="2"/>
      <c r="AF63" s="2"/>
      <c r="AG63" s="51"/>
      <c r="AH63" s="2"/>
      <c r="AI63" s="51"/>
      <c r="AJ63" s="2"/>
      <c r="AK63" s="51"/>
      <c r="AL63" s="2"/>
      <c r="AM63" s="2"/>
      <c r="AN63" s="2"/>
      <c r="AO63" s="2"/>
      <c r="AP63" s="2"/>
      <c r="AQ63" s="1"/>
      <c r="AR63" s="406" t="s">
        <v>55</v>
      </c>
      <c r="AS63" s="407"/>
      <c r="AT63" s="37">
        <f>AX56/140.75</f>
        <v>1.4209591474245116</v>
      </c>
      <c r="AU63" s="12">
        <f>AT63*5</f>
        <v>7.1047957371225579</v>
      </c>
      <c r="AV63" s="13">
        <f>AT63*20</f>
        <v>28.419182948490231</v>
      </c>
      <c r="AW63" s="14">
        <v>2.2000000000000002</v>
      </c>
      <c r="AX63" s="15">
        <f t="shared" si="122"/>
        <v>62.522202486678516</v>
      </c>
      <c r="AY63" s="2"/>
      <c r="AZ63" s="2"/>
    </row>
    <row r="64" spans="1:52" x14ac:dyDescent="0.2">
      <c r="A64" s="2"/>
      <c r="B64" s="2"/>
      <c r="C64" s="30"/>
      <c r="D64" s="30"/>
      <c r="E64" s="30"/>
      <c r="F64" s="30"/>
      <c r="G64" s="30"/>
      <c r="H64" s="3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51"/>
      <c r="V64" s="2"/>
      <c r="W64" s="2"/>
      <c r="X64" s="2"/>
      <c r="Y64" s="2"/>
      <c r="Z64" s="2"/>
      <c r="AA64" s="2"/>
      <c r="AB64" s="2"/>
      <c r="AC64" s="2"/>
      <c r="AD64" s="153"/>
      <c r="AE64" s="2"/>
      <c r="AF64" s="2"/>
      <c r="AG64" s="51"/>
      <c r="AH64" s="2"/>
      <c r="AI64" s="51"/>
      <c r="AJ64" s="2"/>
      <c r="AK64" s="51"/>
      <c r="AL64" s="2"/>
      <c r="AM64" s="2"/>
      <c r="AN64" s="2"/>
      <c r="AO64" s="2"/>
      <c r="AP64" s="2"/>
      <c r="AQ64" s="1"/>
      <c r="AR64" s="421" t="s">
        <v>43</v>
      </c>
      <c r="AS64" s="422"/>
      <c r="AT64" s="20"/>
      <c r="AU64" s="21"/>
      <c r="AV64" s="22"/>
      <c r="AW64" s="23"/>
      <c r="AX64" s="24"/>
      <c r="AY64" s="2"/>
      <c r="AZ64" s="2"/>
    </row>
    <row r="65" spans="1:52" ht="17" thickBot="1" x14ac:dyDescent="0.25">
      <c r="A65" s="2"/>
      <c r="B65" s="2"/>
      <c r="C65" s="30"/>
      <c r="D65" s="30"/>
      <c r="E65" s="30"/>
      <c r="F65" s="30"/>
      <c r="G65" s="30"/>
      <c r="H65" s="3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51"/>
      <c r="V65" s="2"/>
      <c r="W65" s="2"/>
      <c r="X65" s="2"/>
      <c r="Y65" s="2"/>
      <c r="Z65" s="2"/>
      <c r="AA65" s="2"/>
      <c r="AB65" s="2"/>
      <c r="AC65" s="2"/>
      <c r="AD65" s="153"/>
      <c r="AE65" s="2"/>
      <c r="AF65" s="2"/>
      <c r="AG65" s="51"/>
      <c r="AH65" s="2"/>
      <c r="AI65" s="51"/>
      <c r="AJ65" s="2"/>
      <c r="AK65" s="51"/>
      <c r="AL65" s="2"/>
      <c r="AM65" s="2"/>
      <c r="AN65" s="2"/>
      <c r="AO65" s="2"/>
      <c r="AP65" s="2"/>
      <c r="AQ65" s="1"/>
      <c r="AR65" s="447" t="s">
        <v>44</v>
      </c>
      <c r="AS65" s="448"/>
      <c r="AT65" s="25"/>
      <c r="AU65" s="25"/>
      <c r="AV65" s="26"/>
      <c r="AW65" s="27"/>
      <c r="AX65" s="28">
        <f>(AX56*20)*0.5</f>
        <v>2000</v>
      </c>
      <c r="AY65" s="2"/>
      <c r="AZ65" s="2"/>
    </row>
    <row r="66" spans="1:52" ht="17" thickBot="1" x14ac:dyDescent="0.25">
      <c r="A66" s="2"/>
      <c r="B66" s="2"/>
      <c r="C66" s="30"/>
      <c r="D66" s="30"/>
      <c r="E66" s="30"/>
      <c r="F66" s="30"/>
      <c r="G66" s="30"/>
      <c r="H66" s="3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51"/>
      <c r="V66" s="2"/>
      <c r="W66" s="2"/>
      <c r="X66" s="2"/>
      <c r="Y66" s="2"/>
      <c r="Z66" s="2"/>
      <c r="AA66" s="2"/>
      <c r="AB66" s="2"/>
      <c r="AC66" s="2"/>
      <c r="AD66" s="153"/>
      <c r="AE66" s="2"/>
      <c r="AF66" s="2"/>
      <c r="AG66" s="51"/>
      <c r="AH66" s="2"/>
      <c r="AI66" s="51"/>
      <c r="AJ66" s="2"/>
      <c r="AK66" s="51"/>
      <c r="AL66" s="2"/>
      <c r="AM66" s="2"/>
      <c r="AN66" s="2"/>
      <c r="AO66" s="2"/>
      <c r="AP66" s="2"/>
      <c r="AQ66" s="1"/>
      <c r="AR66" s="449" t="s">
        <v>45</v>
      </c>
      <c r="AS66" s="450"/>
      <c r="AT66" s="29">
        <v>0.09</v>
      </c>
      <c r="AU66" s="30"/>
      <c r="AV66" s="31"/>
      <c r="AW66" s="19"/>
      <c r="AX66" s="32">
        <f>SUM(AX59:AX65)</f>
        <v>42592.043274405194</v>
      </c>
      <c r="AY66" s="2"/>
      <c r="AZ66" s="2"/>
    </row>
    <row r="67" spans="1:52" x14ac:dyDescent="0.2">
      <c r="A67" s="2"/>
      <c r="B67" s="2"/>
      <c r="C67" s="30"/>
      <c r="D67" s="30"/>
      <c r="E67" s="30"/>
      <c r="F67" s="30"/>
      <c r="G67" s="30"/>
      <c r="H67" s="3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51"/>
      <c r="V67" s="2"/>
      <c r="W67" s="2"/>
      <c r="X67" s="2"/>
      <c r="Y67" s="2"/>
      <c r="Z67" s="2"/>
      <c r="AA67" s="2"/>
      <c r="AB67" s="2"/>
      <c r="AC67" s="2"/>
      <c r="AD67" s="153"/>
      <c r="AE67" s="2"/>
      <c r="AF67" s="2"/>
      <c r="AG67" s="51"/>
      <c r="AH67" s="2"/>
      <c r="AI67" s="51"/>
      <c r="AJ67" s="2"/>
      <c r="AK67" s="51"/>
      <c r="AL67" s="2"/>
      <c r="AM67" s="2"/>
      <c r="AN67" s="2"/>
      <c r="AO67" s="2"/>
      <c r="AP67" s="2"/>
      <c r="AQ67" s="1"/>
      <c r="AR67" s="421" t="s">
        <v>46</v>
      </c>
      <c r="AS67" s="422"/>
      <c r="AT67" s="15">
        <v>1.1499999999999999</v>
      </c>
      <c r="AU67" s="30"/>
      <c r="AV67" s="31"/>
      <c r="AW67" s="19"/>
      <c r="AX67" s="31"/>
      <c r="AY67" s="2"/>
      <c r="AZ67" s="2"/>
    </row>
    <row r="68" spans="1:52" ht="17" thickBot="1" x14ac:dyDescent="0.25">
      <c r="A68" s="2"/>
      <c r="B68" s="2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51"/>
      <c r="V68" s="2"/>
      <c r="W68" s="2"/>
      <c r="X68" s="2"/>
      <c r="Y68" s="2"/>
      <c r="Z68" s="2"/>
      <c r="AA68" s="2"/>
      <c r="AB68" s="2"/>
      <c r="AC68" s="2"/>
      <c r="AD68" s="153"/>
      <c r="AE68" s="2"/>
      <c r="AF68" s="2"/>
      <c r="AG68" s="51"/>
      <c r="AH68" s="2"/>
      <c r="AI68" s="51"/>
      <c r="AJ68" s="2"/>
      <c r="AK68" s="51"/>
      <c r="AL68" s="2"/>
      <c r="AM68" s="2"/>
      <c r="AN68" s="2"/>
      <c r="AO68" s="2"/>
      <c r="AP68" s="2"/>
      <c r="AQ68" s="1"/>
      <c r="AR68" s="421" t="s">
        <v>103</v>
      </c>
      <c r="AS68" s="422"/>
      <c r="AT68" s="24">
        <v>1.4</v>
      </c>
      <c r="AU68" s="30"/>
      <c r="AV68" s="31"/>
      <c r="AW68" s="19"/>
      <c r="AX68" s="19"/>
      <c r="AY68" s="2"/>
      <c r="AZ68" s="2"/>
    </row>
    <row r="69" spans="1:52" ht="17" thickBot="1" x14ac:dyDescent="0.25">
      <c r="A69" s="2"/>
      <c r="B69" s="2"/>
      <c r="C69" s="30"/>
      <c r="D69" s="30"/>
      <c r="E69" s="30"/>
      <c r="F69" s="30"/>
      <c r="G69" s="30"/>
      <c r="H69" s="3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51"/>
      <c r="V69" s="2"/>
      <c r="W69" s="2"/>
      <c r="X69" s="2"/>
      <c r="Y69" s="2"/>
      <c r="Z69" s="2"/>
      <c r="AA69" s="2"/>
      <c r="AB69" s="2"/>
      <c r="AC69" s="2"/>
      <c r="AD69" s="153"/>
      <c r="AE69" s="2"/>
      <c r="AF69" s="2"/>
      <c r="AG69" s="51"/>
      <c r="AH69" s="2"/>
      <c r="AI69" s="51"/>
      <c r="AJ69" s="2"/>
      <c r="AK69" s="51"/>
      <c r="AL69" s="2"/>
      <c r="AM69" s="2"/>
      <c r="AN69" s="2"/>
      <c r="AO69" s="2"/>
      <c r="AP69" s="2"/>
      <c r="AQ69" s="1"/>
      <c r="AR69" s="408" t="s">
        <v>47</v>
      </c>
      <c r="AS69" s="409"/>
      <c r="AT69" s="34">
        <v>3</v>
      </c>
      <c r="AU69" s="30"/>
      <c r="AV69" s="31"/>
      <c r="AW69" s="52" t="s">
        <v>48</v>
      </c>
      <c r="AX69" s="149">
        <f>AX66/(AX56*20)</f>
        <v>10.648010818601298</v>
      </c>
      <c r="AY69" s="2"/>
      <c r="AZ69" s="2"/>
    </row>
    <row r="70" spans="1:52" x14ac:dyDescent="0.2">
      <c r="A70" s="2"/>
      <c r="B70" s="2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51"/>
      <c r="V70" s="2"/>
      <c r="W70" s="2"/>
      <c r="X70" s="2"/>
      <c r="Y70" s="2"/>
      <c r="Z70" s="2"/>
      <c r="AA70" s="2"/>
      <c r="AB70" s="2"/>
      <c r="AC70" s="2"/>
      <c r="AD70" s="153"/>
      <c r="AE70" s="2"/>
      <c r="AF70" s="2"/>
      <c r="AG70" s="51"/>
      <c r="AH70" s="2"/>
      <c r="AI70" s="51"/>
      <c r="AJ70" s="2"/>
      <c r="AK70" s="51"/>
      <c r="AL70" s="2"/>
      <c r="AM70" s="2"/>
      <c r="AN70" s="2"/>
      <c r="AO70" s="2"/>
      <c r="AP70" s="2"/>
      <c r="AQ70" s="1"/>
      <c r="AR70" s="3"/>
      <c r="AS70" s="3"/>
      <c r="AT70" s="19"/>
      <c r="AU70" s="30"/>
      <c r="AV70" s="31"/>
      <c r="AW70" s="1"/>
      <c r="AX70" s="53"/>
      <c r="AY70" s="2"/>
      <c r="AZ70" s="2"/>
    </row>
    <row r="71" spans="1:52" ht="17" thickBot="1" x14ac:dyDescent="0.25">
      <c r="A71" s="2"/>
      <c r="B71" s="2"/>
      <c r="C71" s="30"/>
      <c r="D71" s="30"/>
      <c r="E71" s="30"/>
      <c r="F71" s="30"/>
      <c r="G71" s="30"/>
      <c r="H71" s="3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1"/>
      <c r="V71" s="2"/>
      <c r="W71" s="2"/>
      <c r="X71" s="2"/>
      <c r="Y71" s="2"/>
      <c r="Z71" s="2"/>
      <c r="AA71" s="2"/>
      <c r="AB71" s="2"/>
      <c r="AC71" s="2"/>
      <c r="AD71" s="153"/>
      <c r="AE71" s="2"/>
      <c r="AF71" s="2"/>
      <c r="AG71" s="51"/>
      <c r="AH71" s="2"/>
      <c r="AI71" s="51"/>
      <c r="AJ71" s="2"/>
      <c r="AK71" s="51"/>
      <c r="AL71" s="2"/>
      <c r="AM71" s="2"/>
      <c r="AN71" s="2"/>
      <c r="AO71" s="2"/>
      <c r="AP71" s="2"/>
      <c r="AQ71" s="1"/>
      <c r="AR71" s="3"/>
      <c r="AS71" s="3"/>
      <c r="AT71" s="19"/>
      <c r="AU71" s="30"/>
      <c r="AV71" s="31"/>
      <c r="AW71" s="1"/>
      <c r="AX71" s="53"/>
      <c r="AY71" s="2"/>
      <c r="AZ71" s="2"/>
    </row>
    <row r="72" spans="1:52" ht="17" thickBot="1" x14ac:dyDescent="0.25">
      <c r="A72" s="2"/>
      <c r="B72" s="2"/>
      <c r="C72" s="30"/>
      <c r="D72" s="30"/>
      <c r="E72" s="30"/>
      <c r="F72" s="30"/>
      <c r="G72" s="30"/>
      <c r="H72" s="30"/>
      <c r="I72" s="2"/>
      <c r="J72" s="2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1"/>
      <c r="V72" s="54"/>
      <c r="W72" s="54"/>
      <c r="X72" s="54"/>
      <c r="Y72" s="54"/>
      <c r="Z72" s="54"/>
      <c r="AA72" s="54"/>
      <c r="AB72" s="54"/>
      <c r="AC72" s="54"/>
      <c r="AD72" s="153"/>
      <c r="AE72" s="54"/>
      <c r="AF72" s="54"/>
      <c r="AG72" s="51"/>
      <c r="AH72" s="54"/>
      <c r="AI72" s="51"/>
      <c r="AJ72" s="54"/>
      <c r="AK72" s="51"/>
      <c r="AL72" s="54"/>
      <c r="AM72" s="54"/>
      <c r="AN72" s="54"/>
      <c r="AO72" s="54"/>
      <c r="AP72" s="54"/>
      <c r="AQ72" s="1"/>
      <c r="AR72" s="413" t="s">
        <v>137</v>
      </c>
      <c r="AS72" s="414"/>
      <c r="AT72" s="414"/>
      <c r="AU72" s="414"/>
      <c r="AV72" s="414"/>
      <c r="AW72" s="414"/>
      <c r="AX72" s="415"/>
      <c r="AY72" s="2"/>
      <c r="AZ72" s="2"/>
    </row>
    <row r="73" spans="1:52" ht="17" thickBot="1" x14ac:dyDescent="0.25">
      <c r="A73" s="2"/>
      <c r="B73" s="2"/>
      <c r="C73" s="30"/>
      <c r="D73" s="30"/>
      <c r="E73" s="30"/>
      <c r="F73" s="30"/>
      <c r="G73" s="30"/>
      <c r="H73" s="3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51"/>
      <c r="V73" s="2"/>
      <c r="W73" s="2"/>
      <c r="X73" s="2"/>
      <c r="Y73" s="2"/>
      <c r="Z73" s="2"/>
      <c r="AA73" s="2"/>
      <c r="AB73" s="2"/>
      <c r="AC73" s="2"/>
      <c r="AD73" s="153"/>
      <c r="AE73" s="2"/>
      <c r="AF73" s="2"/>
      <c r="AG73" s="51"/>
      <c r="AH73" s="2"/>
      <c r="AI73" s="51"/>
      <c r="AJ73" s="2"/>
      <c r="AK73" s="51"/>
      <c r="AL73" s="2"/>
      <c r="AM73" s="2"/>
      <c r="AN73" s="2"/>
      <c r="AO73" s="2"/>
      <c r="AP73" s="2"/>
      <c r="AQ73" s="1"/>
      <c r="AR73" s="428" t="s">
        <v>28</v>
      </c>
      <c r="AS73" s="429"/>
      <c r="AT73" s="429"/>
      <c r="AU73" s="429"/>
      <c r="AV73" s="429"/>
      <c r="AW73" s="430"/>
      <c r="AX73" s="4">
        <v>100</v>
      </c>
      <c r="AY73" s="2"/>
      <c r="AZ73" s="2"/>
    </row>
    <row r="74" spans="1:52" ht="17" thickBot="1" x14ac:dyDescent="0.25">
      <c r="A74" s="2"/>
      <c r="B74" s="2"/>
      <c r="C74" s="30"/>
      <c r="D74" s="30"/>
      <c r="E74" s="30"/>
      <c r="F74" s="30"/>
      <c r="G74" s="30"/>
      <c r="H74" s="3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51"/>
      <c r="V74" s="2"/>
      <c r="W74" s="2"/>
      <c r="X74" s="2"/>
      <c r="Y74" s="2"/>
      <c r="Z74" s="2"/>
      <c r="AA74" s="2"/>
      <c r="AB74" s="2"/>
      <c r="AC74" s="2"/>
      <c r="AD74" s="153"/>
      <c r="AE74" s="2"/>
      <c r="AF74" s="2"/>
      <c r="AG74" s="51"/>
      <c r="AH74" s="2"/>
      <c r="AI74" s="51"/>
      <c r="AJ74" s="2"/>
      <c r="AK74" s="51"/>
      <c r="AL74" s="2"/>
      <c r="AM74" s="2"/>
      <c r="AN74" s="2"/>
      <c r="AO74" s="2"/>
      <c r="AP74" s="2"/>
      <c r="AQ74" s="1"/>
      <c r="AR74" s="442" t="s">
        <v>30</v>
      </c>
      <c r="AS74" s="443"/>
      <c r="AT74" s="444" t="s">
        <v>31</v>
      </c>
      <c r="AU74" s="414"/>
      <c r="AV74" s="414"/>
      <c r="AW74" s="444" t="s">
        <v>32</v>
      </c>
      <c r="AX74" s="415"/>
      <c r="AY74" s="2"/>
      <c r="AZ74" s="2"/>
    </row>
    <row r="75" spans="1:52" x14ac:dyDescent="0.2">
      <c r="A75" s="2"/>
      <c r="B75" s="2"/>
      <c r="C75" s="30"/>
      <c r="D75" s="30"/>
      <c r="E75" s="30"/>
      <c r="F75" s="30"/>
      <c r="G75" s="30"/>
      <c r="H75" s="3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51"/>
      <c r="V75" s="2"/>
      <c r="W75" s="2"/>
      <c r="X75" s="2"/>
      <c r="Y75" s="2"/>
      <c r="Z75" s="2"/>
      <c r="AA75" s="2"/>
      <c r="AB75" s="2"/>
      <c r="AC75" s="2"/>
      <c r="AD75" s="153"/>
      <c r="AE75" s="2"/>
      <c r="AF75" s="2"/>
      <c r="AG75" s="51"/>
      <c r="AH75" s="2"/>
      <c r="AI75" s="51"/>
      <c r="AJ75" s="2"/>
      <c r="AK75" s="51"/>
      <c r="AL75" s="2"/>
      <c r="AM75" s="2"/>
      <c r="AN75" s="2"/>
      <c r="AO75" s="2"/>
      <c r="AP75" s="2"/>
      <c r="AQ75" s="1"/>
      <c r="AR75" s="445"/>
      <c r="AS75" s="446"/>
      <c r="AT75" s="16" t="s">
        <v>33</v>
      </c>
      <c r="AU75" s="16" t="s">
        <v>34</v>
      </c>
      <c r="AV75" s="16" t="s">
        <v>35</v>
      </c>
      <c r="AW75" s="39" t="s">
        <v>36</v>
      </c>
      <c r="AX75" s="17" t="s">
        <v>37</v>
      </c>
      <c r="AY75" s="2"/>
      <c r="AZ75" s="2"/>
    </row>
    <row r="76" spans="1:52" x14ac:dyDescent="0.2">
      <c r="A76" s="2"/>
      <c r="B76" s="2"/>
      <c r="C76" s="30"/>
      <c r="D76" s="30"/>
      <c r="E76" s="30"/>
      <c r="F76" s="30"/>
      <c r="G76" s="30"/>
      <c r="H76" s="3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51"/>
      <c r="V76" s="2"/>
      <c r="W76" s="2"/>
      <c r="X76" s="2"/>
      <c r="Y76" s="2"/>
      <c r="Z76" s="2"/>
      <c r="AA76" s="2"/>
      <c r="AB76" s="2"/>
      <c r="AC76" s="2"/>
      <c r="AD76" s="153"/>
      <c r="AE76" s="2"/>
      <c r="AF76" s="2"/>
      <c r="AG76" s="51"/>
      <c r="AH76" s="2"/>
      <c r="AI76" s="51"/>
      <c r="AJ76" s="2"/>
      <c r="AK76" s="51"/>
      <c r="AL76" s="2"/>
      <c r="AM76" s="2"/>
      <c r="AN76" s="2"/>
      <c r="AO76" s="2"/>
      <c r="AP76" s="2"/>
      <c r="AQ76" s="1"/>
      <c r="AR76" s="440" t="s">
        <v>57</v>
      </c>
      <c r="AS76" s="441"/>
      <c r="AT76" s="11">
        <f>AX73/5</f>
        <v>20</v>
      </c>
      <c r="AU76" s="12">
        <f>AT76*5</f>
        <v>100</v>
      </c>
      <c r="AV76" s="18">
        <f>AT76*20</f>
        <v>400</v>
      </c>
      <c r="AW76" s="55">
        <v>2.5</v>
      </c>
      <c r="AX76" s="15">
        <f>AV76*AW76</f>
        <v>1000</v>
      </c>
      <c r="AY76" s="2"/>
      <c r="AZ76" s="2"/>
    </row>
    <row r="77" spans="1:52" x14ac:dyDescent="0.2">
      <c r="A77" s="2"/>
      <c r="B77" s="2"/>
      <c r="C77" s="30"/>
      <c r="D77" s="30"/>
      <c r="E77" s="30"/>
      <c r="F77" s="30"/>
      <c r="G77" s="30"/>
      <c r="H77" s="3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51"/>
      <c r="V77" s="2"/>
      <c r="W77" s="2"/>
      <c r="X77" s="2"/>
      <c r="Y77" s="2"/>
      <c r="Z77" s="2"/>
      <c r="AA77" s="2"/>
      <c r="AB77" s="2"/>
      <c r="AC77" s="2"/>
      <c r="AD77" s="153"/>
      <c r="AE77" s="2"/>
      <c r="AF77" s="2"/>
      <c r="AG77" s="51"/>
      <c r="AH77" s="2"/>
      <c r="AI77" s="51"/>
      <c r="AJ77" s="2"/>
      <c r="AK77" s="51"/>
      <c r="AL77" s="2"/>
      <c r="AM77" s="2"/>
      <c r="AN77" s="2"/>
      <c r="AO77" s="2"/>
      <c r="AP77" s="2"/>
      <c r="AQ77" s="1"/>
      <c r="AR77" s="436" t="s">
        <v>58</v>
      </c>
      <c r="AS77" s="437"/>
      <c r="AT77" s="12">
        <f>AX73/26.666</f>
        <v>3.7500937523438087</v>
      </c>
      <c r="AU77" s="12">
        <f t="shared" ref="AU77:AU79" si="123">AT77*5</f>
        <v>18.750468761719045</v>
      </c>
      <c r="AV77" s="18">
        <f t="shared" ref="AV77:AV78" si="124">AT77*20</f>
        <v>75.001875046876179</v>
      </c>
      <c r="AW77" s="55">
        <v>6.8</v>
      </c>
      <c r="AX77" s="15">
        <f t="shared" ref="AX77:AX80" si="125">AV77*AW77</f>
        <v>510.01275031875798</v>
      </c>
      <c r="AY77" s="2"/>
      <c r="AZ77" s="2"/>
    </row>
    <row r="78" spans="1:52" x14ac:dyDescent="0.2">
      <c r="A78" s="2"/>
      <c r="B78" s="2"/>
      <c r="C78" s="30"/>
      <c r="D78" s="30"/>
      <c r="E78" s="30"/>
      <c r="F78" s="30"/>
      <c r="G78" s="30"/>
      <c r="H78" s="3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51"/>
      <c r="V78" s="2"/>
      <c r="W78" s="2"/>
      <c r="X78" s="2"/>
      <c r="Y78" s="2"/>
      <c r="Z78" s="2"/>
      <c r="AA78" s="2"/>
      <c r="AB78" s="2"/>
      <c r="AC78" s="2"/>
      <c r="AD78" s="153"/>
      <c r="AE78" s="2"/>
      <c r="AF78" s="2"/>
      <c r="AG78" s="51"/>
      <c r="AH78" s="2"/>
      <c r="AI78" s="51"/>
      <c r="AJ78" s="2"/>
      <c r="AK78" s="51"/>
      <c r="AL78" s="2"/>
      <c r="AM78" s="2"/>
      <c r="AN78" s="2"/>
      <c r="AO78" s="2"/>
      <c r="AP78" s="2"/>
      <c r="AQ78" s="1"/>
      <c r="AR78" s="436" t="s">
        <v>59</v>
      </c>
      <c r="AS78" s="437"/>
      <c r="AT78" s="12">
        <f>AX73/66.66</f>
        <v>1.5001500150015001</v>
      </c>
      <c r="AU78" s="12">
        <f t="shared" si="123"/>
        <v>7.5007500750075007</v>
      </c>
      <c r="AV78" s="18">
        <f t="shared" si="124"/>
        <v>30.003000300030003</v>
      </c>
      <c r="AW78" s="56">
        <v>7.8</v>
      </c>
      <c r="AX78" s="15">
        <f t="shared" si="125"/>
        <v>234.02340234023401</v>
      </c>
      <c r="AY78" s="2"/>
      <c r="AZ78" s="2"/>
    </row>
    <row r="79" spans="1:52" x14ac:dyDescent="0.2">
      <c r="A79" s="2"/>
      <c r="B79" s="2"/>
      <c r="C79" s="30"/>
      <c r="D79" s="30"/>
      <c r="E79" s="30"/>
      <c r="F79" s="30"/>
      <c r="G79" s="30"/>
      <c r="H79" s="3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51"/>
      <c r="V79" s="2"/>
      <c r="W79" s="2"/>
      <c r="X79" s="2"/>
      <c r="Y79" s="2"/>
      <c r="Z79" s="2"/>
      <c r="AA79" s="2"/>
      <c r="AB79" s="2"/>
      <c r="AC79" s="2"/>
      <c r="AD79" s="153"/>
      <c r="AE79" s="2"/>
      <c r="AF79" s="2"/>
      <c r="AG79" s="51"/>
      <c r="AH79" s="2"/>
      <c r="AI79" s="51"/>
      <c r="AJ79" s="2"/>
      <c r="AK79" s="51"/>
      <c r="AL79" s="2"/>
      <c r="AM79" s="2"/>
      <c r="AN79" s="2"/>
      <c r="AO79" s="2"/>
      <c r="AP79" s="2"/>
      <c r="AQ79" s="1"/>
      <c r="AR79" s="438" t="s">
        <v>55</v>
      </c>
      <c r="AS79" s="439"/>
      <c r="AT79" s="12">
        <f>AX73/266.66</f>
        <v>0.37500937523438083</v>
      </c>
      <c r="AU79" s="12">
        <f t="shared" si="123"/>
        <v>1.8750468761719041</v>
      </c>
      <c r="AV79" s="18">
        <f>AT79*20</f>
        <v>7.5001875046876165</v>
      </c>
      <c r="AW79" s="55">
        <v>2.9</v>
      </c>
      <c r="AX79" s="15">
        <f t="shared" si="125"/>
        <v>21.750543763594088</v>
      </c>
      <c r="AY79" s="2"/>
      <c r="AZ79" s="2"/>
    </row>
    <row r="80" spans="1:52" x14ac:dyDescent="0.2">
      <c r="A80" s="2"/>
      <c r="B80" s="2"/>
      <c r="C80" s="30"/>
      <c r="D80" s="30"/>
      <c r="E80" s="30"/>
      <c r="F80" s="30"/>
      <c r="G80" s="30"/>
      <c r="H80" s="3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51"/>
      <c r="V80" s="2"/>
      <c r="W80" s="2"/>
      <c r="X80" s="2"/>
      <c r="Y80" s="2"/>
      <c r="Z80" s="2"/>
      <c r="AA80" s="2"/>
      <c r="AB80" s="2"/>
      <c r="AC80" s="2"/>
      <c r="AD80" s="153"/>
      <c r="AE80" s="2"/>
      <c r="AF80" s="2"/>
      <c r="AG80" s="51"/>
      <c r="AH80" s="2"/>
      <c r="AI80" s="51"/>
      <c r="AJ80" s="2"/>
      <c r="AK80" s="51"/>
      <c r="AL80" s="2"/>
      <c r="AM80" s="2"/>
      <c r="AN80" s="2"/>
      <c r="AO80" s="2"/>
      <c r="AP80" s="2"/>
      <c r="AQ80" s="1"/>
      <c r="AR80" s="440" t="s">
        <v>60</v>
      </c>
      <c r="AS80" s="441"/>
      <c r="AT80" s="12">
        <f>AX73/800</f>
        <v>0.125</v>
      </c>
      <c r="AU80" s="12">
        <f>AT80*5</f>
        <v>0.625</v>
      </c>
      <c r="AV80" s="18">
        <f>AT80*20</f>
        <v>2.5</v>
      </c>
      <c r="AW80" s="55">
        <v>15</v>
      </c>
      <c r="AX80" s="15">
        <f t="shared" si="125"/>
        <v>37.5</v>
      </c>
      <c r="AY80" s="2"/>
      <c r="AZ80" s="2"/>
    </row>
    <row r="81" spans="1:52" x14ac:dyDescent="0.2">
      <c r="A81" s="2"/>
      <c r="B81" s="2"/>
      <c r="C81" s="30"/>
      <c r="D81" s="30"/>
      <c r="E81" s="30"/>
      <c r="F81" s="30"/>
      <c r="G81" s="30"/>
      <c r="H81" s="3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51"/>
      <c r="V81" s="2"/>
      <c r="W81" s="2"/>
      <c r="X81" s="2"/>
      <c r="Y81" s="2"/>
      <c r="Z81" s="2"/>
      <c r="AA81" s="2"/>
      <c r="AB81" s="2"/>
      <c r="AC81" s="2"/>
      <c r="AD81" s="153"/>
      <c r="AE81" s="2"/>
      <c r="AF81" s="2"/>
      <c r="AG81" s="51"/>
      <c r="AH81" s="2"/>
      <c r="AI81" s="51"/>
      <c r="AJ81" s="2"/>
      <c r="AK81" s="51"/>
      <c r="AL81" s="2"/>
      <c r="AM81" s="2"/>
      <c r="AN81" s="2"/>
      <c r="AO81" s="2"/>
      <c r="AP81" s="2"/>
      <c r="AQ81" s="1"/>
      <c r="AR81" s="421" t="s">
        <v>43</v>
      </c>
      <c r="AS81" s="422"/>
      <c r="AT81" s="20"/>
      <c r="AU81" s="21"/>
      <c r="AV81" s="22"/>
      <c r="AW81" s="23"/>
      <c r="AX81" s="24"/>
      <c r="AY81" s="2"/>
      <c r="AZ81" s="2"/>
    </row>
    <row r="82" spans="1:52" ht="17" thickBot="1" x14ac:dyDescent="0.25">
      <c r="A82" s="2"/>
      <c r="B82" s="2"/>
      <c r="C82" s="30"/>
      <c r="D82" s="30"/>
      <c r="E82" s="30"/>
      <c r="F82" s="30"/>
      <c r="G82" s="30"/>
      <c r="H82" s="3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51"/>
      <c r="V82" s="2"/>
      <c r="W82" s="2"/>
      <c r="X82" s="2"/>
      <c r="Y82" s="2"/>
      <c r="Z82" s="2"/>
      <c r="AA82" s="2"/>
      <c r="AB82" s="2"/>
      <c r="AC82" s="2"/>
      <c r="AD82" s="153"/>
      <c r="AE82" s="2"/>
      <c r="AF82" s="2"/>
      <c r="AG82" s="51"/>
      <c r="AH82" s="2"/>
      <c r="AI82" s="51"/>
      <c r="AJ82" s="2"/>
      <c r="AK82" s="51"/>
      <c r="AL82" s="2"/>
      <c r="AM82" s="2"/>
      <c r="AN82" s="2"/>
      <c r="AO82" s="2"/>
      <c r="AP82" s="2"/>
      <c r="AQ82" s="1"/>
      <c r="AR82" s="408" t="s">
        <v>44</v>
      </c>
      <c r="AS82" s="409"/>
      <c r="AT82" s="25"/>
      <c r="AU82" s="25"/>
      <c r="AV82" s="26"/>
      <c r="AW82" s="27"/>
      <c r="AX82" s="28">
        <v>250</v>
      </c>
      <c r="AY82" s="2"/>
      <c r="AZ82" s="2"/>
    </row>
    <row r="83" spans="1:52" ht="17" thickBot="1" x14ac:dyDescent="0.25">
      <c r="A83" s="2"/>
      <c r="B83" s="2"/>
      <c r="C83" s="30"/>
      <c r="D83" s="30"/>
      <c r="E83" s="30"/>
      <c r="F83" s="30"/>
      <c r="G83" s="30"/>
      <c r="H83" s="3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51"/>
      <c r="V83" s="2"/>
      <c r="W83" s="2"/>
      <c r="X83" s="2"/>
      <c r="Y83" s="2"/>
      <c r="Z83" s="2"/>
      <c r="AA83" s="2"/>
      <c r="AB83" s="2"/>
      <c r="AC83" s="2"/>
      <c r="AD83" s="153"/>
      <c r="AE83" s="2"/>
      <c r="AF83" s="2"/>
      <c r="AG83" s="51"/>
      <c r="AH83" s="2"/>
      <c r="AI83" s="51"/>
      <c r="AJ83" s="2"/>
      <c r="AK83" s="51"/>
      <c r="AL83" s="2"/>
      <c r="AM83" s="2"/>
      <c r="AN83" s="2"/>
      <c r="AO83" s="2"/>
      <c r="AP83" s="2"/>
      <c r="AQ83" s="1"/>
      <c r="AR83" s="404" t="s">
        <v>45</v>
      </c>
      <c r="AS83" s="405"/>
      <c r="AT83" s="29">
        <v>0.09</v>
      </c>
      <c r="AU83" s="30"/>
      <c r="AV83" s="31"/>
      <c r="AW83" s="19"/>
      <c r="AX83" s="32">
        <f>SUM(AX76:AX82)</f>
        <v>2053.2866964225859</v>
      </c>
      <c r="AY83" s="2"/>
      <c r="AZ83" s="2"/>
    </row>
    <row r="84" spans="1:52" x14ac:dyDescent="0.2">
      <c r="A84" s="2"/>
      <c r="B84" s="2"/>
      <c r="C84" s="30"/>
      <c r="D84" s="30"/>
      <c r="E84" s="30"/>
      <c r="F84" s="30"/>
      <c r="G84" s="30"/>
      <c r="H84" s="3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51"/>
      <c r="V84" s="2"/>
      <c r="W84" s="2"/>
      <c r="X84" s="2"/>
      <c r="Y84" s="2"/>
      <c r="Z84" s="2"/>
      <c r="AA84" s="2"/>
      <c r="AB84" s="2"/>
      <c r="AC84" s="2"/>
      <c r="AD84" s="153"/>
      <c r="AE84" s="2"/>
      <c r="AF84" s="2"/>
      <c r="AG84" s="51"/>
      <c r="AH84" s="2"/>
      <c r="AI84" s="51"/>
      <c r="AJ84" s="2"/>
      <c r="AK84" s="51"/>
      <c r="AL84" s="2"/>
      <c r="AM84" s="2"/>
      <c r="AN84" s="2"/>
      <c r="AO84" s="2"/>
      <c r="AP84" s="2"/>
      <c r="AQ84" s="1"/>
      <c r="AR84" s="406" t="s">
        <v>46</v>
      </c>
      <c r="AS84" s="407"/>
      <c r="AT84" s="15">
        <v>1.1499999999999999</v>
      </c>
      <c r="AU84" s="30"/>
      <c r="AV84" s="31"/>
      <c r="AW84" s="19"/>
      <c r="AX84" s="31"/>
      <c r="AY84" s="2"/>
      <c r="AZ84" s="2"/>
    </row>
    <row r="85" spans="1:52" ht="17" thickBot="1" x14ac:dyDescent="0.25">
      <c r="A85" s="2"/>
      <c r="B85" s="2"/>
      <c r="C85" s="30"/>
      <c r="D85" s="30"/>
      <c r="E85" s="30"/>
      <c r="F85" s="30"/>
      <c r="G85" s="30"/>
      <c r="H85" s="3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51"/>
      <c r="V85" s="2"/>
      <c r="W85" s="2"/>
      <c r="X85" s="2"/>
      <c r="Y85" s="2"/>
      <c r="Z85" s="2"/>
      <c r="AA85" s="2"/>
      <c r="AB85" s="2"/>
      <c r="AC85" s="2"/>
      <c r="AD85" s="153"/>
      <c r="AE85" s="2"/>
      <c r="AF85" s="2"/>
      <c r="AG85" s="51"/>
      <c r="AH85" s="2"/>
      <c r="AI85" s="51"/>
      <c r="AJ85" s="2"/>
      <c r="AK85" s="51"/>
      <c r="AL85" s="2"/>
      <c r="AM85" s="2"/>
      <c r="AN85" s="2"/>
      <c r="AO85" s="2"/>
      <c r="AP85" s="2"/>
      <c r="AQ85" s="1"/>
      <c r="AR85" s="421" t="s">
        <v>103</v>
      </c>
      <c r="AS85" s="422"/>
      <c r="AT85" s="24">
        <v>1.4</v>
      </c>
      <c r="AU85" s="30"/>
      <c r="AV85" s="31"/>
      <c r="AW85" s="19"/>
      <c r="AX85" s="19"/>
      <c r="AY85" s="2"/>
      <c r="AZ85" s="2"/>
    </row>
    <row r="86" spans="1:52" ht="17" thickBot="1" x14ac:dyDescent="0.25">
      <c r="A86" s="2"/>
      <c r="B86" s="2"/>
      <c r="C86" s="30"/>
      <c r="D86" s="30"/>
      <c r="E86" s="30"/>
      <c r="F86" s="30"/>
      <c r="G86" s="30"/>
      <c r="H86" s="3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51"/>
      <c r="V86" s="2"/>
      <c r="W86" s="2"/>
      <c r="X86" s="2"/>
      <c r="Y86" s="2"/>
      <c r="Z86" s="2"/>
      <c r="AA86" s="2"/>
      <c r="AB86" s="2"/>
      <c r="AC86" s="2"/>
      <c r="AD86" s="153"/>
      <c r="AE86" s="2"/>
      <c r="AF86" s="2"/>
      <c r="AG86" s="51"/>
      <c r="AH86" s="2"/>
      <c r="AI86" s="51"/>
      <c r="AJ86" s="2"/>
      <c r="AK86" s="51"/>
      <c r="AL86" s="2"/>
      <c r="AM86" s="2"/>
      <c r="AN86" s="2"/>
      <c r="AO86" s="2"/>
      <c r="AP86" s="2"/>
      <c r="AQ86" s="1"/>
      <c r="AR86" s="406" t="s">
        <v>47</v>
      </c>
      <c r="AS86" s="407"/>
      <c r="AT86" s="15">
        <v>3</v>
      </c>
      <c r="AU86" s="30"/>
      <c r="AV86" s="31"/>
      <c r="AW86" s="52" t="s">
        <v>48</v>
      </c>
      <c r="AX86" s="149">
        <f>AX83/(AX73*20)</f>
        <v>1.0266433482112929</v>
      </c>
      <c r="AY86" s="2"/>
      <c r="AZ86" s="2"/>
    </row>
    <row r="87" spans="1:52" x14ac:dyDescent="0.2">
      <c r="A87" s="2"/>
      <c r="B87" s="2"/>
      <c r="C87" s="30"/>
      <c r="D87" s="30"/>
      <c r="E87" s="30"/>
      <c r="F87" s="30"/>
      <c r="G87" s="30"/>
      <c r="H87" s="3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51"/>
      <c r="V87" s="2"/>
      <c r="W87" s="2"/>
      <c r="X87" s="2"/>
      <c r="Y87" s="2"/>
      <c r="Z87" s="2"/>
      <c r="AA87" s="2"/>
      <c r="AB87" s="2"/>
      <c r="AC87" s="2"/>
      <c r="AD87" s="153"/>
      <c r="AE87" s="2"/>
      <c r="AF87" s="2"/>
      <c r="AG87" s="51"/>
      <c r="AH87" s="2"/>
      <c r="AI87" s="51"/>
      <c r="AJ87" s="2"/>
      <c r="AK87" s="51"/>
      <c r="AL87" s="2"/>
      <c r="AM87" s="2"/>
      <c r="AN87" s="2"/>
      <c r="AO87" s="2"/>
      <c r="AP87" s="2"/>
      <c r="AQ87" s="1"/>
      <c r="AR87" s="3"/>
      <c r="AS87" s="3"/>
      <c r="AT87" s="19"/>
      <c r="AU87" s="30"/>
      <c r="AV87" s="31"/>
      <c r="AW87" s="1"/>
      <c r="AX87" s="53"/>
      <c r="AY87" s="2"/>
      <c r="AZ87" s="2"/>
    </row>
    <row r="88" spans="1:52" ht="17" thickBot="1" x14ac:dyDescent="0.25">
      <c r="A88" s="2"/>
      <c r="B88" s="2"/>
      <c r="C88" s="30"/>
      <c r="D88" s="30"/>
      <c r="E88" s="30"/>
      <c r="F88" s="30"/>
      <c r="G88" s="30"/>
      <c r="H88" s="3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51"/>
      <c r="V88" s="2"/>
      <c r="W88" s="2"/>
      <c r="X88" s="2"/>
      <c r="Y88" s="2"/>
      <c r="Z88" s="2"/>
      <c r="AA88" s="2"/>
      <c r="AB88" s="2"/>
      <c r="AC88" s="2"/>
      <c r="AD88" s="153"/>
      <c r="AE88" s="2"/>
      <c r="AF88" s="2"/>
      <c r="AG88" s="51"/>
      <c r="AH88" s="2"/>
      <c r="AI88" s="51"/>
      <c r="AJ88" s="2"/>
      <c r="AK88" s="51"/>
      <c r="AL88" s="2"/>
      <c r="AM88" s="2"/>
      <c r="AN88" s="2"/>
      <c r="AO88" s="2"/>
      <c r="AP88" s="2"/>
      <c r="AQ88" s="1"/>
      <c r="AR88" s="3"/>
      <c r="AS88" s="3"/>
      <c r="AT88" s="19"/>
      <c r="AU88" s="30"/>
      <c r="AV88" s="31"/>
      <c r="AW88" s="1"/>
      <c r="AX88" s="53"/>
      <c r="AY88" s="2"/>
      <c r="AZ88" s="2"/>
    </row>
    <row r="89" spans="1:52" ht="17" thickBot="1" x14ac:dyDescent="0.25">
      <c r="A89" s="2"/>
      <c r="B89" s="2"/>
      <c r="C89" s="30"/>
      <c r="D89" s="30"/>
      <c r="E89" s="30"/>
      <c r="F89" s="30"/>
      <c r="G89" s="30"/>
      <c r="H89" s="3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51"/>
      <c r="V89" s="2"/>
      <c r="W89" s="2"/>
      <c r="X89" s="2"/>
      <c r="Y89" s="2"/>
      <c r="Z89" s="2"/>
      <c r="AA89" s="2"/>
      <c r="AB89" s="2"/>
      <c r="AC89" s="2"/>
      <c r="AD89" s="153"/>
      <c r="AE89" s="2"/>
      <c r="AF89" s="2"/>
      <c r="AG89" s="51"/>
      <c r="AH89" s="2"/>
      <c r="AI89" s="51"/>
      <c r="AJ89" s="2"/>
      <c r="AK89" s="51"/>
      <c r="AL89" s="2"/>
      <c r="AM89" s="2"/>
      <c r="AN89" s="2"/>
      <c r="AO89" s="2"/>
      <c r="AP89" s="2"/>
      <c r="AQ89" s="1"/>
      <c r="AR89" s="413" t="s">
        <v>138</v>
      </c>
      <c r="AS89" s="414"/>
      <c r="AT89" s="414"/>
      <c r="AU89" s="414"/>
      <c r="AV89" s="414"/>
      <c r="AW89" s="414"/>
      <c r="AX89" s="415"/>
      <c r="AY89" s="2"/>
      <c r="AZ89" s="2"/>
    </row>
    <row r="90" spans="1:52" ht="17" thickBot="1" x14ac:dyDescent="0.25">
      <c r="A90" s="2"/>
      <c r="B90" s="2"/>
      <c r="C90" s="30"/>
      <c r="D90" s="30"/>
      <c r="E90" s="30"/>
      <c r="F90" s="30"/>
      <c r="G90" s="30"/>
      <c r="H90" s="3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1"/>
      <c r="V90" s="2"/>
      <c r="W90" s="2"/>
      <c r="X90" s="2"/>
      <c r="Y90" s="2"/>
      <c r="Z90" s="2"/>
      <c r="AA90" s="2"/>
      <c r="AB90" s="2"/>
      <c r="AC90" s="2"/>
      <c r="AD90" s="153"/>
      <c r="AE90" s="2"/>
      <c r="AF90" s="2"/>
      <c r="AG90" s="51"/>
      <c r="AH90" s="2"/>
      <c r="AI90" s="51"/>
      <c r="AJ90" s="2"/>
      <c r="AK90" s="51"/>
      <c r="AL90" s="2"/>
      <c r="AM90" s="2"/>
      <c r="AN90" s="2"/>
      <c r="AO90" s="2"/>
      <c r="AP90" s="2"/>
      <c r="AQ90" s="1"/>
      <c r="AR90" s="428" t="s">
        <v>28</v>
      </c>
      <c r="AS90" s="429"/>
      <c r="AT90" s="429"/>
      <c r="AU90" s="429"/>
      <c r="AV90" s="429"/>
      <c r="AW90" s="430"/>
      <c r="AX90" s="4">
        <v>100</v>
      </c>
      <c r="AY90" s="2"/>
      <c r="AZ90" s="2"/>
    </row>
    <row r="91" spans="1:52" ht="17" thickBot="1" x14ac:dyDescent="0.25">
      <c r="A91" s="2"/>
      <c r="B91" s="2"/>
      <c r="C91" s="30"/>
      <c r="D91" s="30"/>
      <c r="E91" s="30"/>
      <c r="F91" s="30"/>
      <c r="G91" s="30"/>
      <c r="H91" s="3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1"/>
      <c r="V91" s="2"/>
      <c r="W91" s="2"/>
      <c r="X91" s="2"/>
      <c r="Y91" s="2"/>
      <c r="Z91" s="2"/>
      <c r="AA91" s="2"/>
      <c r="AB91" s="2"/>
      <c r="AC91" s="2"/>
      <c r="AD91" s="153"/>
      <c r="AE91" s="2"/>
      <c r="AF91" s="2"/>
      <c r="AG91" s="51"/>
      <c r="AH91" s="2"/>
      <c r="AI91" s="51"/>
      <c r="AJ91" s="2"/>
      <c r="AK91" s="51"/>
      <c r="AL91" s="2"/>
      <c r="AM91" s="2"/>
      <c r="AN91" s="2"/>
      <c r="AO91" s="2"/>
      <c r="AP91" s="2"/>
      <c r="AQ91" s="1"/>
      <c r="AR91" s="431" t="s">
        <v>30</v>
      </c>
      <c r="AS91" s="432"/>
      <c r="AT91" s="433" t="s">
        <v>31</v>
      </c>
      <c r="AU91" s="434"/>
      <c r="AV91" s="434"/>
      <c r="AW91" s="433" t="s">
        <v>32</v>
      </c>
      <c r="AX91" s="435"/>
      <c r="AY91" s="2"/>
      <c r="AZ91" s="2"/>
    </row>
    <row r="92" spans="1:52" x14ac:dyDescent="0.2">
      <c r="A92" s="2"/>
      <c r="B92" s="2"/>
      <c r="C92" s="30"/>
      <c r="D92" s="30"/>
      <c r="E92" s="30"/>
      <c r="F92" s="30"/>
      <c r="G92" s="30"/>
      <c r="H92" s="3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51"/>
      <c r="V92" s="2"/>
      <c r="W92" s="2"/>
      <c r="X92" s="2"/>
      <c r="Y92" s="2"/>
      <c r="Z92" s="2"/>
      <c r="AA92" s="2"/>
      <c r="AB92" s="2"/>
      <c r="AC92" s="2"/>
      <c r="AD92" s="153"/>
      <c r="AE92" s="2"/>
      <c r="AF92" s="2"/>
      <c r="AG92" s="51"/>
      <c r="AH92" s="2"/>
      <c r="AI92" s="51"/>
      <c r="AJ92" s="2"/>
      <c r="AK92" s="51"/>
      <c r="AL92" s="2"/>
      <c r="AM92" s="2"/>
      <c r="AN92" s="2"/>
      <c r="AO92" s="2"/>
      <c r="AP92" s="2"/>
      <c r="AQ92" s="1"/>
      <c r="AR92" s="404"/>
      <c r="AS92" s="405"/>
      <c r="AT92" s="5" t="s">
        <v>33</v>
      </c>
      <c r="AU92" s="5" t="s">
        <v>34</v>
      </c>
      <c r="AV92" s="5" t="s">
        <v>35</v>
      </c>
      <c r="AW92" s="41" t="s">
        <v>36</v>
      </c>
      <c r="AX92" s="42" t="s">
        <v>37</v>
      </c>
      <c r="AY92" s="2"/>
      <c r="AZ92" s="2"/>
    </row>
    <row r="93" spans="1:52" x14ac:dyDescent="0.2">
      <c r="A93" s="2"/>
      <c r="B93" s="2"/>
      <c r="C93" s="30"/>
      <c r="D93" s="30"/>
      <c r="E93" s="30"/>
      <c r="F93" s="30"/>
      <c r="G93" s="30"/>
      <c r="H93" s="3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1"/>
      <c r="V93" s="2"/>
      <c r="W93" s="2"/>
      <c r="X93" s="2"/>
      <c r="Y93" s="2"/>
      <c r="Z93" s="2"/>
      <c r="AA93" s="2"/>
      <c r="AB93" s="2"/>
      <c r="AC93" s="2"/>
      <c r="AD93" s="153"/>
      <c r="AE93" s="2"/>
      <c r="AF93" s="2"/>
      <c r="AG93" s="51"/>
      <c r="AH93" s="2"/>
      <c r="AI93" s="51"/>
      <c r="AJ93" s="2"/>
      <c r="AK93" s="51"/>
      <c r="AL93" s="2"/>
      <c r="AM93" s="2"/>
      <c r="AN93" s="2"/>
      <c r="AO93" s="2"/>
      <c r="AP93" s="2"/>
      <c r="AQ93" s="1"/>
      <c r="AR93" s="406" t="s">
        <v>57</v>
      </c>
      <c r="AS93" s="407"/>
      <c r="AT93" s="11">
        <f>AX90/5</f>
        <v>20</v>
      </c>
      <c r="AU93" s="12">
        <f>AT93*5</f>
        <v>100</v>
      </c>
      <c r="AV93" s="18">
        <f>AT93*20</f>
        <v>400</v>
      </c>
      <c r="AW93" s="56">
        <v>2.5</v>
      </c>
      <c r="AX93" s="15">
        <f>AV93*AW93</f>
        <v>1000</v>
      </c>
      <c r="AY93" s="2"/>
    </row>
    <row r="94" spans="1:52" x14ac:dyDescent="0.2">
      <c r="A94" s="2"/>
      <c r="B94" s="2"/>
      <c r="C94" s="30"/>
      <c r="D94" s="30"/>
      <c r="E94" s="30"/>
      <c r="F94" s="30"/>
      <c r="G94" s="30"/>
      <c r="H94" s="3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51"/>
      <c r="V94" s="2"/>
      <c r="W94" s="2"/>
      <c r="X94" s="2"/>
      <c r="Y94" s="2"/>
      <c r="Z94" s="2"/>
      <c r="AA94" s="2"/>
      <c r="AB94" s="2"/>
      <c r="AC94" s="2"/>
      <c r="AD94" s="153"/>
      <c r="AE94" s="2"/>
      <c r="AF94" s="2"/>
      <c r="AG94" s="51"/>
      <c r="AH94" s="2"/>
      <c r="AI94" s="51"/>
      <c r="AJ94" s="2"/>
      <c r="AK94" s="51"/>
      <c r="AL94" s="2"/>
      <c r="AM94" s="2"/>
      <c r="AN94" s="2"/>
      <c r="AO94" s="2"/>
      <c r="AP94" s="2"/>
      <c r="AQ94" s="1"/>
      <c r="AR94" s="406" t="s">
        <v>58</v>
      </c>
      <c r="AS94" s="407"/>
      <c r="AT94" s="12">
        <f>AX90/26.666</f>
        <v>3.7500937523438087</v>
      </c>
      <c r="AU94" s="12">
        <f t="shared" ref="AU94:AU96" si="126">AT94*5</f>
        <v>18.750468761719045</v>
      </c>
      <c r="AV94" s="18">
        <f t="shared" ref="AV94:AV95" si="127">AT94*20</f>
        <v>75.001875046876179</v>
      </c>
      <c r="AW94" s="56">
        <v>6.8</v>
      </c>
      <c r="AX94" s="15">
        <f t="shared" ref="AX94:AX97" si="128">AV94*AW94</f>
        <v>510.01275031875798</v>
      </c>
      <c r="AZ94" s="2"/>
    </row>
    <row r="95" spans="1:52" x14ac:dyDescent="0.2">
      <c r="A95" s="2"/>
      <c r="B95" s="2"/>
      <c r="C95" s="30"/>
      <c r="D95" s="30"/>
      <c r="E95" s="30"/>
      <c r="F95" s="30"/>
      <c r="G95" s="30"/>
      <c r="H95" s="3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51"/>
      <c r="V95" s="2"/>
      <c r="W95" s="2"/>
      <c r="X95" s="2"/>
      <c r="Y95" s="2"/>
      <c r="Z95" s="2"/>
      <c r="AA95" s="2"/>
      <c r="AB95" s="2"/>
      <c r="AC95" s="2"/>
      <c r="AD95" s="153"/>
      <c r="AE95" s="2"/>
      <c r="AF95" s="2"/>
      <c r="AG95" s="51"/>
      <c r="AH95" s="2"/>
      <c r="AI95" s="51"/>
      <c r="AJ95" s="2"/>
      <c r="AK95" s="51"/>
      <c r="AL95" s="2"/>
      <c r="AM95" s="2"/>
      <c r="AN95" s="2"/>
      <c r="AO95" s="2"/>
      <c r="AP95" s="2"/>
      <c r="AQ95" s="1"/>
      <c r="AR95" s="406" t="s">
        <v>59</v>
      </c>
      <c r="AS95" s="407"/>
      <c r="AT95" s="12">
        <f>AX90/66.66</f>
        <v>1.5001500150015001</v>
      </c>
      <c r="AU95" s="12">
        <f t="shared" si="126"/>
        <v>7.5007500750075007</v>
      </c>
      <c r="AV95" s="18">
        <f t="shared" si="127"/>
        <v>30.003000300030003</v>
      </c>
      <c r="AW95" s="56">
        <v>7.8</v>
      </c>
      <c r="AX95" s="15">
        <f t="shared" si="128"/>
        <v>234.02340234023401</v>
      </c>
      <c r="AY95" s="2"/>
      <c r="AZ95" s="2"/>
    </row>
    <row r="96" spans="1:52" x14ac:dyDescent="0.2">
      <c r="A96" s="2"/>
      <c r="B96" s="2"/>
      <c r="C96" s="30"/>
      <c r="D96" s="30"/>
      <c r="E96" s="30"/>
      <c r="F96" s="30"/>
      <c r="G96" s="30"/>
      <c r="H96" s="3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51"/>
      <c r="V96" s="2"/>
      <c r="W96" s="2"/>
      <c r="X96" s="2"/>
      <c r="Y96" s="2"/>
      <c r="Z96" s="2"/>
      <c r="AA96" s="2"/>
      <c r="AB96" s="2"/>
      <c r="AC96" s="2"/>
      <c r="AD96" s="153"/>
      <c r="AE96" s="2"/>
      <c r="AF96" s="2"/>
      <c r="AG96" s="51"/>
      <c r="AH96" s="2"/>
      <c r="AI96" s="51"/>
      <c r="AJ96" s="2"/>
      <c r="AK96" s="51"/>
      <c r="AL96" s="2"/>
      <c r="AM96" s="2"/>
      <c r="AN96" s="2"/>
      <c r="AO96" s="2"/>
      <c r="AP96" s="2"/>
      <c r="AQ96" s="1"/>
      <c r="AR96" s="406" t="s">
        <v>55</v>
      </c>
      <c r="AS96" s="407"/>
      <c r="AT96" s="12">
        <f>AX90/266.66</f>
        <v>0.37500937523438083</v>
      </c>
      <c r="AU96" s="12">
        <f t="shared" si="126"/>
        <v>1.8750468761719041</v>
      </c>
      <c r="AV96" s="18">
        <f>AT96*20</f>
        <v>7.5001875046876165</v>
      </c>
      <c r="AW96" s="56">
        <v>2.9</v>
      </c>
      <c r="AX96" s="15">
        <f t="shared" si="128"/>
        <v>21.750543763594088</v>
      </c>
      <c r="AY96" s="2"/>
      <c r="AZ96" s="2"/>
    </row>
    <row r="97" spans="1:52" x14ac:dyDescent="0.2">
      <c r="A97" s="2"/>
      <c r="B97" s="2"/>
      <c r="C97" s="30"/>
      <c r="D97" s="30"/>
      <c r="E97" s="30"/>
      <c r="F97" s="30"/>
      <c r="G97" s="30"/>
      <c r="H97" s="3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51"/>
      <c r="V97" s="2"/>
      <c r="W97" s="2"/>
      <c r="X97" s="2"/>
      <c r="Y97" s="2"/>
      <c r="Z97" s="2"/>
      <c r="AA97" s="2"/>
      <c r="AB97" s="2"/>
      <c r="AC97" s="2"/>
      <c r="AD97" s="153"/>
      <c r="AE97" s="2"/>
      <c r="AF97" s="2"/>
      <c r="AG97" s="51"/>
      <c r="AH97" s="2"/>
      <c r="AI97" s="51"/>
      <c r="AJ97" s="2"/>
      <c r="AK97" s="51"/>
      <c r="AL97" s="2"/>
      <c r="AM97" s="2"/>
      <c r="AN97" s="2"/>
      <c r="AO97" s="2"/>
      <c r="AP97" s="2"/>
      <c r="AQ97" s="1"/>
      <c r="AR97" s="406" t="s">
        <v>60</v>
      </c>
      <c r="AS97" s="407"/>
      <c r="AT97" s="12">
        <f>AX90/800</f>
        <v>0.125</v>
      </c>
      <c r="AU97" s="12">
        <f>AT97*5</f>
        <v>0.625</v>
      </c>
      <c r="AV97" s="18">
        <f>AT97*20</f>
        <v>2.5</v>
      </c>
      <c r="AW97" s="56">
        <v>15</v>
      </c>
      <c r="AX97" s="15">
        <f t="shared" si="128"/>
        <v>37.5</v>
      </c>
      <c r="AY97" s="2"/>
      <c r="AZ97" s="2"/>
    </row>
    <row r="98" spans="1:52" x14ac:dyDescent="0.2">
      <c r="A98" s="2"/>
      <c r="B98" s="2"/>
      <c r="C98" s="30"/>
      <c r="D98" s="30"/>
      <c r="E98" s="30"/>
      <c r="F98" s="30"/>
      <c r="G98" s="30"/>
      <c r="H98" s="3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51"/>
      <c r="V98" s="2"/>
      <c r="W98" s="2"/>
      <c r="X98" s="2"/>
      <c r="Y98" s="2"/>
      <c r="Z98" s="2"/>
      <c r="AA98" s="2"/>
      <c r="AB98" s="2"/>
      <c r="AC98" s="2"/>
      <c r="AD98" s="153"/>
      <c r="AE98" s="2"/>
      <c r="AF98" s="2"/>
      <c r="AG98" s="51"/>
      <c r="AH98" s="2"/>
      <c r="AI98" s="51"/>
      <c r="AJ98" s="2"/>
      <c r="AK98" s="51"/>
      <c r="AL98" s="2"/>
      <c r="AM98" s="2"/>
      <c r="AN98" s="2"/>
      <c r="AO98" s="2"/>
      <c r="AP98" s="2"/>
      <c r="AQ98" s="1"/>
      <c r="AR98" s="406" t="s">
        <v>43</v>
      </c>
      <c r="AS98" s="407"/>
      <c r="AT98" s="37">
        <f>AX98/AX90/30</f>
        <v>0.40938098875639201</v>
      </c>
      <c r="AU98" s="12">
        <f>AT98*5</f>
        <v>2.0469049437819602</v>
      </c>
      <c r="AV98" s="13">
        <f>AT98*20</f>
        <v>8.1876197751278408</v>
      </c>
      <c r="AW98" s="14">
        <f>AX98/AX90*AV98</f>
        <v>100.5556763730967</v>
      </c>
      <c r="AX98" s="15">
        <f>((AX93+AX94+AX95+AX96+AX97+AX99)/0.9)-(AX94+AX95+AX96+AX97+AX99)</f>
        <v>1228.142966269176</v>
      </c>
      <c r="AY98" s="2"/>
      <c r="AZ98" s="2"/>
    </row>
    <row r="99" spans="1:52" ht="17" thickBot="1" x14ac:dyDescent="0.25">
      <c r="A99" s="2"/>
      <c r="B99" s="2"/>
      <c r="C99" s="30"/>
      <c r="D99" s="30"/>
      <c r="E99" s="30"/>
      <c r="F99" s="30"/>
      <c r="G99" s="30"/>
      <c r="H99" s="3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51"/>
      <c r="V99" s="2"/>
      <c r="W99" s="2"/>
      <c r="X99" s="2"/>
      <c r="Y99" s="2"/>
      <c r="Z99" s="2"/>
      <c r="AA99" s="2"/>
      <c r="AB99" s="2"/>
      <c r="AC99" s="2"/>
      <c r="AD99" s="153"/>
      <c r="AE99" s="2"/>
      <c r="AF99" s="2"/>
      <c r="AG99" s="51"/>
      <c r="AH99" s="2"/>
      <c r="AI99" s="51"/>
      <c r="AJ99" s="2"/>
      <c r="AK99" s="51"/>
      <c r="AL99" s="2"/>
      <c r="AM99" s="2"/>
      <c r="AN99" s="2"/>
      <c r="AO99" s="2"/>
      <c r="AP99" s="2"/>
      <c r="AQ99" s="1"/>
      <c r="AR99" s="408" t="s">
        <v>44</v>
      </c>
      <c r="AS99" s="409"/>
      <c r="AT99" s="25"/>
      <c r="AU99" s="25"/>
      <c r="AV99" s="26"/>
      <c r="AW99" s="27"/>
      <c r="AX99" s="28">
        <v>250</v>
      </c>
      <c r="AY99" s="2"/>
      <c r="AZ99" s="2"/>
    </row>
    <row r="100" spans="1:52" ht="17" thickBot="1" x14ac:dyDescent="0.25">
      <c r="A100" s="2"/>
      <c r="B100" s="2"/>
      <c r="C100" s="30"/>
      <c r="D100" s="30"/>
      <c r="E100" s="30"/>
      <c r="F100" s="30"/>
      <c r="G100" s="30"/>
      <c r="H100" s="3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51"/>
      <c r="V100" s="2"/>
      <c r="W100" s="2"/>
      <c r="X100" s="2"/>
      <c r="Y100" s="2"/>
      <c r="Z100" s="2"/>
      <c r="AA100" s="2"/>
      <c r="AB100" s="2"/>
      <c r="AC100" s="2"/>
      <c r="AD100" s="153"/>
      <c r="AE100" s="2"/>
      <c r="AF100" s="2"/>
      <c r="AG100" s="51"/>
      <c r="AH100" s="2"/>
      <c r="AI100" s="51"/>
      <c r="AJ100" s="2"/>
      <c r="AK100" s="51"/>
      <c r="AL100" s="2"/>
      <c r="AM100" s="2"/>
      <c r="AN100" s="2"/>
      <c r="AO100" s="2"/>
      <c r="AP100" s="2"/>
      <c r="AQ100" s="1"/>
      <c r="AR100" s="404" t="s">
        <v>45</v>
      </c>
      <c r="AS100" s="405"/>
      <c r="AT100" s="29">
        <v>0.09</v>
      </c>
      <c r="AU100" s="30"/>
      <c r="AV100" s="31"/>
      <c r="AW100" s="19"/>
      <c r="AX100" s="43">
        <f>SUM(AX93:AX99)</f>
        <v>3281.4296626917621</v>
      </c>
      <c r="AY100" s="2"/>
      <c r="AZ100" s="2"/>
    </row>
    <row r="101" spans="1:52" x14ac:dyDescent="0.2">
      <c r="A101" s="2"/>
      <c r="B101" s="2"/>
      <c r="C101" s="30"/>
      <c r="D101" s="30"/>
      <c r="E101" s="30"/>
      <c r="F101" s="30"/>
      <c r="G101" s="30"/>
      <c r="H101" s="3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51"/>
      <c r="V101" s="2"/>
      <c r="W101" s="2"/>
      <c r="X101" s="2"/>
      <c r="Y101" s="2"/>
      <c r="Z101" s="2"/>
      <c r="AA101" s="2"/>
      <c r="AB101" s="2"/>
      <c r="AC101" s="2"/>
      <c r="AD101" s="153"/>
      <c r="AE101" s="2"/>
      <c r="AF101" s="2"/>
      <c r="AG101" s="51"/>
      <c r="AH101" s="2"/>
      <c r="AI101" s="51"/>
      <c r="AJ101" s="2"/>
      <c r="AK101" s="51"/>
      <c r="AL101" s="2"/>
      <c r="AM101" s="2"/>
      <c r="AN101" s="2"/>
      <c r="AO101" s="2"/>
      <c r="AP101" s="2"/>
      <c r="AQ101" s="1"/>
      <c r="AR101" s="406" t="s">
        <v>46</v>
      </c>
      <c r="AS101" s="407"/>
      <c r="AT101" s="15">
        <v>1.1499999999999999</v>
      </c>
      <c r="AU101" s="30"/>
      <c r="AV101" s="31"/>
      <c r="AW101" s="19"/>
      <c r="AX101" s="31"/>
      <c r="AY101" s="2"/>
      <c r="AZ101" s="2"/>
    </row>
    <row r="102" spans="1:52" ht="17" thickBot="1" x14ac:dyDescent="0.25">
      <c r="A102" s="2"/>
      <c r="B102" s="2"/>
      <c r="C102" s="30"/>
      <c r="D102" s="30"/>
      <c r="E102" s="30"/>
      <c r="F102" s="30"/>
      <c r="G102" s="30"/>
      <c r="H102" s="3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51"/>
      <c r="V102" s="2"/>
      <c r="W102" s="2"/>
      <c r="X102" s="2"/>
      <c r="Y102" s="2"/>
      <c r="Z102" s="2"/>
      <c r="AA102" s="2"/>
      <c r="AB102" s="2"/>
      <c r="AC102" s="2"/>
      <c r="AD102" s="153"/>
      <c r="AE102" s="2"/>
      <c r="AF102" s="2"/>
      <c r="AG102" s="51"/>
      <c r="AH102" s="2"/>
      <c r="AI102" s="51"/>
      <c r="AJ102" s="2"/>
      <c r="AK102" s="51"/>
      <c r="AL102" s="2"/>
      <c r="AM102" s="2"/>
      <c r="AN102" s="2"/>
      <c r="AO102" s="2"/>
      <c r="AP102" s="2"/>
      <c r="AQ102" s="1"/>
      <c r="AR102" s="421" t="s">
        <v>103</v>
      </c>
      <c r="AS102" s="422"/>
      <c r="AT102" s="24">
        <v>1.4</v>
      </c>
      <c r="AU102" s="30"/>
      <c r="AV102" s="31"/>
      <c r="AW102" s="19"/>
      <c r="AX102" s="19"/>
      <c r="AY102" s="2"/>
      <c r="AZ102" s="2"/>
    </row>
    <row r="103" spans="1:52" ht="17" thickBot="1" x14ac:dyDescent="0.25">
      <c r="A103" s="2"/>
      <c r="B103" s="2"/>
      <c r="C103" s="30"/>
      <c r="D103" s="30"/>
      <c r="E103" s="30"/>
      <c r="F103" s="30"/>
      <c r="G103" s="30"/>
      <c r="H103" s="3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51"/>
      <c r="V103" s="2"/>
      <c r="W103" s="2"/>
      <c r="X103" s="2"/>
      <c r="Y103" s="2"/>
      <c r="Z103" s="2"/>
      <c r="AA103" s="2"/>
      <c r="AB103" s="2"/>
      <c r="AC103" s="2"/>
      <c r="AD103" s="153"/>
      <c r="AE103" s="2"/>
      <c r="AF103" s="2"/>
      <c r="AG103" s="51"/>
      <c r="AH103" s="2"/>
      <c r="AI103" s="51"/>
      <c r="AJ103" s="2"/>
      <c r="AK103" s="51"/>
      <c r="AL103" s="2"/>
      <c r="AM103" s="2"/>
      <c r="AN103" s="2"/>
      <c r="AO103" s="2"/>
      <c r="AP103" s="2"/>
      <c r="AQ103" s="1"/>
      <c r="AR103" s="408" t="s">
        <v>47</v>
      </c>
      <c r="AS103" s="409"/>
      <c r="AT103" s="34">
        <v>3</v>
      </c>
      <c r="AU103" s="30"/>
      <c r="AV103" s="31"/>
      <c r="AW103" s="52" t="s">
        <v>48</v>
      </c>
      <c r="AX103" s="149">
        <f>AX100/(AX90*20)</f>
        <v>1.640714831345881</v>
      </c>
      <c r="AY103" s="2"/>
      <c r="AZ103" s="2"/>
    </row>
    <row r="104" spans="1:52" x14ac:dyDescent="0.2">
      <c r="A104" s="2"/>
      <c r="B104" s="2"/>
      <c r="C104" s="30"/>
      <c r="D104" s="30"/>
      <c r="E104" s="30"/>
      <c r="F104" s="30"/>
      <c r="G104" s="30"/>
      <c r="H104" s="3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51"/>
      <c r="V104" s="2"/>
      <c r="W104" s="2"/>
      <c r="X104" s="2"/>
      <c r="Y104" s="2"/>
      <c r="Z104" s="2"/>
      <c r="AA104" s="2"/>
      <c r="AB104" s="2"/>
      <c r="AC104" s="2"/>
      <c r="AD104" s="153"/>
      <c r="AE104" s="2"/>
      <c r="AF104" s="2"/>
      <c r="AG104" s="51"/>
      <c r="AH104" s="2"/>
      <c r="AI104" s="51"/>
      <c r="AJ104" s="2"/>
      <c r="AK104" s="51"/>
      <c r="AL104" s="2"/>
      <c r="AM104" s="2"/>
      <c r="AN104" s="2"/>
      <c r="AO104" s="2"/>
      <c r="AP104" s="2"/>
      <c r="AQ104" s="1"/>
      <c r="AR104" s="3"/>
      <c r="AS104" s="3"/>
      <c r="AT104" s="19"/>
      <c r="AU104" s="30"/>
      <c r="AV104" s="31"/>
      <c r="AW104" s="1"/>
      <c r="AX104" s="53"/>
      <c r="AY104" s="2"/>
      <c r="AZ104" s="2"/>
    </row>
    <row r="105" spans="1:52" ht="17" thickBot="1" x14ac:dyDescent="0.25">
      <c r="A105" s="2"/>
      <c r="B105" s="2"/>
      <c r="C105" s="30"/>
      <c r="D105" s="30"/>
      <c r="E105" s="30"/>
      <c r="F105" s="30"/>
      <c r="G105" s="30"/>
      <c r="H105" s="3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51"/>
      <c r="V105" s="2"/>
      <c r="W105" s="2"/>
      <c r="X105" s="2"/>
      <c r="Y105" s="2"/>
      <c r="Z105" s="2"/>
      <c r="AA105" s="2"/>
      <c r="AB105" s="2"/>
      <c r="AC105" s="2"/>
      <c r="AD105" s="153"/>
      <c r="AE105" s="2"/>
      <c r="AF105" s="2"/>
      <c r="AG105" s="51"/>
      <c r="AH105" s="2"/>
      <c r="AI105" s="51"/>
      <c r="AJ105" s="2"/>
      <c r="AK105" s="51"/>
      <c r="AL105" s="2"/>
      <c r="AM105" s="2"/>
      <c r="AN105" s="2"/>
      <c r="AO105" s="2"/>
      <c r="AP105" s="2"/>
      <c r="AQ105" s="1"/>
      <c r="AR105" s="3"/>
      <c r="AS105" s="3"/>
      <c r="AT105" s="19"/>
      <c r="AU105" s="30"/>
      <c r="AV105" s="31"/>
      <c r="AW105" s="1"/>
      <c r="AX105" s="53"/>
      <c r="AY105" s="2"/>
      <c r="AZ105" s="2"/>
    </row>
    <row r="106" spans="1:52" ht="17" thickBot="1" x14ac:dyDescent="0.25">
      <c r="A106" s="2"/>
      <c r="B106" s="2"/>
      <c r="C106" s="30"/>
      <c r="D106" s="30"/>
      <c r="E106" s="30"/>
      <c r="F106" s="30"/>
      <c r="G106" s="30"/>
      <c r="H106" s="3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51"/>
      <c r="V106" s="2"/>
      <c r="W106" s="2"/>
      <c r="X106" s="2"/>
      <c r="Y106" s="2"/>
      <c r="Z106" s="2"/>
      <c r="AA106" s="2"/>
      <c r="AB106" s="2"/>
      <c r="AC106" s="2"/>
      <c r="AD106" s="153"/>
      <c r="AE106" s="2"/>
      <c r="AF106" s="2"/>
      <c r="AG106" s="51"/>
      <c r="AH106" s="2"/>
      <c r="AI106" s="51"/>
      <c r="AJ106" s="2"/>
      <c r="AK106" s="51"/>
      <c r="AL106" s="2"/>
      <c r="AM106" s="2"/>
      <c r="AN106" s="2"/>
      <c r="AO106" s="2"/>
      <c r="AP106" s="2"/>
      <c r="AQ106" s="1"/>
      <c r="AR106" s="413" t="s">
        <v>139</v>
      </c>
      <c r="AS106" s="414"/>
      <c r="AT106" s="415"/>
      <c r="AU106" s="30"/>
      <c r="AY106" s="2"/>
      <c r="AZ106" s="2"/>
    </row>
    <row r="107" spans="1:52" x14ac:dyDescent="0.2">
      <c r="A107" s="2"/>
      <c r="B107" s="2"/>
      <c r="C107" s="30"/>
      <c r="D107" s="30"/>
      <c r="E107" s="30"/>
      <c r="F107" s="30"/>
      <c r="G107" s="30"/>
      <c r="H107" s="3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51"/>
      <c r="V107" s="2"/>
      <c r="W107" s="2"/>
      <c r="X107" s="2"/>
      <c r="Y107" s="2"/>
      <c r="Z107" s="2"/>
      <c r="AA107" s="2"/>
      <c r="AB107" s="2"/>
      <c r="AC107" s="2"/>
      <c r="AD107" s="153"/>
      <c r="AE107" s="2"/>
      <c r="AF107" s="2"/>
      <c r="AG107" s="51"/>
      <c r="AH107" s="2"/>
      <c r="AI107" s="51"/>
      <c r="AJ107" s="2"/>
      <c r="AK107" s="51"/>
      <c r="AL107" s="2"/>
      <c r="AM107" s="2"/>
      <c r="AN107" s="2"/>
      <c r="AO107" s="2"/>
      <c r="AP107" s="2"/>
      <c r="AQ107" s="1"/>
      <c r="AR107" s="47">
        <v>1</v>
      </c>
      <c r="AS107" s="40" t="s">
        <v>65</v>
      </c>
      <c r="AT107" s="44">
        <f>16/3</f>
        <v>5.333333333333333</v>
      </c>
      <c r="AU107" s="30"/>
      <c r="AY107" s="2"/>
      <c r="AZ107" s="2"/>
    </row>
    <row r="108" spans="1:52" x14ac:dyDescent="0.2">
      <c r="A108" s="2"/>
      <c r="B108" s="2"/>
      <c r="C108" s="30"/>
      <c r="D108" s="30"/>
      <c r="E108" s="30"/>
      <c r="F108" s="30"/>
      <c r="G108" s="30"/>
      <c r="H108" s="3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51"/>
      <c r="V108" s="2"/>
      <c r="W108" s="2"/>
      <c r="X108" s="2"/>
      <c r="Y108" s="2"/>
      <c r="Z108" s="2"/>
      <c r="AA108" s="2"/>
      <c r="AB108" s="2"/>
      <c r="AC108" s="2"/>
      <c r="AD108" s="153"/>
      <c r="AE108" s="2"/>
      <c r="AF108" s="2"/>
      <c r="AG108" s="51"/>
      <c r="AH108" s="2"/>
      <c r="AI108" s="51"/>
      <c r="AJ108" s="2"/>
      <c r="AK108" s="51"/>
      <c r="AL108" s="2"/>
      <c r="AM108" s="2"/>
      <c r="AN108" s="2"/>
      <c r="AO108" s="2"/>
      <c r="AP108" s="2"/>
      <c r="AQ108" s="1"/>
      <c r="AR108" s="48">
        <v>2</v>
      </c>
      <c r="AS108" s="10" t="s">
        <v>66</v>
      </c>
      <c r="AT108" s="15">
        <f>34/3</f>
        <v>11.333333333333334</v>
      </c>
      <c r="AU108" s="30"/>
      <c r="AY108" s="2"/>
      <c r="AZ108" s="2"/>
    </row>
    <row r="109" spans="1:52" x14ac:dyDescent="0.2">
      <c r="A109" s="2"/>
      <c r="B109" s="2"/>
      <c r="C109" s="30"/>
      <c r="D109" s="30"/>
      <c r="E109" s="30"/>
      <c r="F109" s="30"/>
      <c r="G109" s="30"/>
      <c r="H109" s="30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51"/>
      <c r="V109" s="2"/>
      <c r="W109" s="2"/>
      <c r="X109" s="2"/>
      <c r="Y109" s="2"/>
      <c r="Z109" s="2"/>
      <c r="AA109" s="2"/>
      <c r="AB109" s="2"/>
      <c r="AC109" s="2"/>
      <c r="AD109" s="153"/>
      <c r="AE109" s="2"/>
      <c r="AF109" s="2"/>
      <c r="AG109" s="51"/>
      <c r="AH109" s="2"/>
      <c r="AI109" s="51"/>
      <c r="AJ109" s="2"/>
      <c r="AK109" s="51"/>
      <c r="AL109" s="2"/>
      <c r="AM109" s="2"/>
      <c r="AN109" s="2"/>
      <c r="AO109" s="2"/>
      <c r="AP109" s="2"/>
      <c r="AQ109" s="1"/>
      <c r="AR109" s="49">
        <v>3</v>
      </c>
      <c r="AS109" s="10" t="s">
        <v>67</v>
      </c>
      <c r="AT109" s="15">
        <f>40/3</f>
        <v>13.333333333333334</v>
      </c>
      <c r="AU109" s="30"/>
      <c r="AY109" s="2"/>
      <c r="AZ109" s="2"/>
    </row>
    <row r="110" spans="1:52" ht="17" thickBot="1" x14ac:dyDescent="0.25">
      <c r="A110" s="2"/>
      <c r="B110" s="2"/>
      <c r="C110" s="30"/>
      <c r="D110" s="30"/>
      <c r="E110" s="30"/>
      <c r="F110" s="30"/>
      <c r="G110" s="30"/>
      <c r="H110" s="3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51"/>
      <c r="V110" s="2"/>
      <c r="W110" s="2"/>
      <c r="X110" s="2"/>
      <c r="Y110" s="2"/>
      <c r="Z110" s="2"/>
      <c r="AA110" s="2"/>
      <c r="AB110" s="2"/>
      <c r="AC110" s="2"/>
      <c r="AD110" s="153"/>
      <c r="AE110" s="2"/>
      <c r="AF110" s="2"/>
      <c r="AG110" s="51"/>
      <c r="AH110" s="2"/>
      <c r="AI110" s="51"/>
      <c r="AJ110" s="2"/>
      <c r="AK110" s="51"/>
      <c r="AL110" s="2"/>
      <c r="AM110" s="2"/>
      <c r="AN110" s="2"/>
      <c r="AO110" s="2"/>
      <c r="AP110" s="2"/>
      <c r="AR110" s="50">
        <v>4</v>
      </c>
      <c r="AS110" s="33" t="s">
        <v>145</v>
      </c>
      <c r="AT110" s="34">
        <f>34/3</f>
        <v>11.333333333333334</v>
      </c>
      <c r="AU110" s="30"/>
    </row>
    <row r="111" spans="1:52" ht="17" thickBot="1" x14ac:dyDescent="0.25">
      <c r="A111" s="2"/>
      <c r="B111" s="2"/>
      <c r="C111" s="30"/>
      <c r="D111" s="30"/>
      <c r="E111" s="30"/>
      <c r="F111" s="30"/>
      <c r="G111" s="30"/>
      <c r="H111" s="30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51"/>
      <c r="V111" s="2"/>
      <c r="W111" s="2"/>
      <c r="X111" s="2"/>
      <c r="Y111" s="2"/>
      <c r="Z111" s="2"/>
      <c r="AA111" s="2"/>
      <c r="AB111" s="2"/>
      <c r="AC111" s="2"/>
      <c r="AD111" s="153"/>
      <c r="AE111" s="2"/>
      <c r="AF111" s="2"/>
      <c r="AG111" s="51"/>
      <c r="AH111" s="2"/>
      <c r="AI111" s="51"/>
      <c r="AJ111" s="2"/>
      <c r="AK111" s="51"/>
      <c r="AL111" s="2"/>
      <c r="AM111" s="2"/>
      <c r="AN111" s="2"/>
      <c r="AO111" s="2"/>
      <c r="AP111" s="2"/>
      <c r="AR111" s="3"/>
      <c r="AS111" s="3"/>
      <c r="AT111" s="19"/>
      <c r="AU111" s="30"/>
    </row>
    <row r="112" spans="1:52" ht="17" thickBot="1" x14ac:dyDescent="0.25">
      <c r="A112" s="2"/>
      <c r="B112" s="2"/>
      <c r="C112" s="30"/>
      <c r="D112" s="30"/>
      <c r="E112" s="30"/>
      <c r="F112" s="30"/>
      <c r="G112" s="30"/>
      <c r="H112" s="3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51"/>
      <c r="V112" s="2"/>
      <c r="W112" s="2"/>
      <c r="X112" s="2"/>
      <c r="Y112" s="2"/>
      <c r="Z112" s="2"/>
      <c r="AA112" s="2"/>
      <c r="AB112" s="2"/>
      <c r="AC112" s="2"/>
      <c r="AD112" s="153"/>
      <c r="AE112" s="2"/>
      <c r="AF112" s="2"/>
      <c r="AG112" s="51"/>
      <c r="AH112" s="2"/>
      <c r="AI112" s="51"/>
      <c r="AJ112" s="2"/>
      <c r="AK112" s="51"/>
      <c r="AL112" s="2"/>
      <c r="AM112" s="2"/>
      <c r="AN112" s="2"/>
      <c r="AO112" s="2"/>
      <c r="AP112" s="2"/>
      <c r="AR112" s="413" t="s">
        <v>104</v>
      </c>
      <c r="AS112" s="414"/>
      <c r="AT112" s="414"/>
      <c r="AU112" s="414"/>
      <c r="AV112" s="414"/>
      <c r="AW112" s="414"/>
      <c r="AX112" s="415"/>
    </row>
    <row r="113" spans="1:50" ht="17" thickBot="1" x14ac:dyDescent="0.25">
      <c r="A113" s="2"/>
      <c r="B113" s="2"/>
      <c r="C113" s="30"/>
      <c r="D113" s="30"/>
      <c r="E113" s="30"/>
      <c r="F113" s="30"/>
      <c r="G113" s="30"/>
      <c r="H113" s="30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51"/>
      <c r="V113" s="2"/>
      <c r="W113" s="2"/>
      <c r="X113" s="2"/>
      <c r="Y113" s="2"/>
      <c r="Z113" s="2"/>
      <c r="AA113" s="2"/>
      <c r="AB113" s="2"/>
      <c r="AC113" s="2"/>
      <c r="AD113" s="153"/>
      <c r="AE113" s="2"/>
      <c r="AF113" s="2"/>
      <c r="AG113" s="51"/>
      <c r="AH113" s="2"/>
      <c r="AI113" s="51"/>
      <c r="AJ113" s="2"/>
      <c r="AK113" s="51"/>
      <c r="AL113" s="2"/>
      <c r="AM113" s="2"/>
      <c r="AN113" s="2"/>
      <c r="AO113" s="2"/>
      <c r="AP113" s="2"/>
      <c r="AR113" s="423" t="s">
        <v>154</v>
      </c>
      <c r="AS113" s="424"/>
      <c r="AT113" s="425"/>
      <c r="AU113" s="30"/>
      <c r="AV113" s="410" t="s">
        <v>140</v>
      </c>
      <c r="AW113" s="411"/>
      <c r="AX113" s="412"/>
    </row>
    <row r="114" spans="1:50" x14ac:dyDescent="0.2">
      <c r="A114" s="2"/>
      <c r="B114" s="2"/>
      <c r="C114" s="30"/>
      <c r="D114" s="30"/>
      <c r="E114" s="30"/>
      <c r="F114" s="30"/>
      <c r="G114" s="30"/>
      <c r="H114" s="30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51"/>
      <c r="V114" s="2"/>
      <c r="W114" s="2"/>
      <c r="X114" s="2"/>
      <c r="Y114" s="2"/>
      <c r="Z114" s="2"/>
      <c r="AA114" s="2"/>
      <c r="AB114" s="2"/>
      <c r="AC114" s="2"/>
      <c r="AD114" s="153"/>
      <c r="AE114" s="2"/>
      <c r="AF114" s="2"/>
      <c r="AG114" s="51"/>
      <c r="AH114" s="2"/>
      <c r="AI114" s="51"/>
      <c r="AJ114" s="2"/>
      <c r="AK114" s="51"/>
      <c r="AL114" s="2"/>
      <c r="AM114" s="2"/>
      <c r="AN114" s="2"/>
      <c r="AO114" s="2"/>
      <c r="AP114" s="2"/>
      <c r="AR114" s="47">
        <v>7</v>
      </c>
      <c r="AS114" s="40" t="s">
        <v>159</v>
      </c>
      <c r="AT114" s="44">
        <v>45</v>
      </c>
      <c r="AU114" s="30"/>
      <c r="AV114" s="404" t="s">
        <v>151</v>
      </c>
      <c r="AW114" s="405"/>
      <c r="AX114" s="29">
        <v>1.7</v>
      </c>
    </row>
    <row r="115" spans="1:50" ht="17" thickBot="1" x14ac:dyDescent="0.25">
      <c r="A115" s="2"/>
      <c r="B115" s="2"/>
      <c r="C115" s="30"/>
      <c r="D115" s="30"/>
      <c r="E115" s="30"/>
      <c r="F115" s="30"/>
      <c r="G115" s="30"/>
      <c r="H115" s="30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51"/>
      <c r="V115" s="2"/>
      <c r="W115" s="2"/>
      <c r="X115" s="2"/>
      <c r="Y115" s="2"/>
      <c r="Z115" s="2"/>
      <c r="AA115" s="2"/>
      <c r="AB115" s="2"/>
      <c r="AC115" s="2"/>
      <c r="AD115" s="153"/>
      <c r="AE115" s="2"/>
      <c r="AF115" s="2"/>
      <c r="AG115" s="51"/>
      <c r="AH115" s="2"/>
      <c r="AI115" s="51"/>
      <c r="AJ115" s="2"/>
      <c r="AK115" s="51"/>
      <c r="AL115" s="2"/>
      <c r="AM115" s="2"/>
      <c r="AN115" s="2"/>
      <c r="AO115" s="2"/>
      <c r="AP115" s="2"/>
      <c r="AR115" s="48">
        <v>8</v>
      </c>
      <c r="AS115" s="10" t="s">
        <v>160</v>
      </c>
      <c r="AT115" s="15">
        <v>45</v>
      </c>
      <c r="AU115" s="30"/>
      <c r="AV115" s="406" t="s">
        <v>97</v>
      </c>
      <c r="AW115" s="407"/>
      <c r="AX115" s="15">
        <v>1.4</v>
      </c>
    </row>
    <row r="116" spans="1:50" ht="17" thickBot="1" x14ac:dyDescent="0.25">
      <c r="A116" s="2"/>
      <c r="B116" s="2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51"/>
      <c r="V116" s="2"/>
      <c r="W116" s="2"/>
      <c r="X116" s="2"/>
      <c r="Y116" s="2"/>
      <c r="Z116" s="2"/>
      <c r="AA116" s="2"/>
      <c r="AB116" s="2"/>
      <c r="AC116" s="2"/>
      <c r="AD116" s="153"/>
      <c r="AE116" s="2"/>
      <c r="AF116" s="2"/>
      <c r="AG116" s="51"/>
      <c r="AH116" s="2"/>
      <c r="AI116" s="51"/>
      <c r="AJ116" s="2"/>
      <c r="AK116" s="51"/>
      <c r="AL116" s="2"/>
      <c r="AM116" s="2"/>
      <c r="AN116" s="2"/>
      <c r="AO116" s="2"/>
      <c r="AP116" s="2"/>
      <c r="AR116" s="47">
        <v>9</v>
      </c>
      <c r="AS116" s="40" t="s">
        <v>155</v>
      </c>
      <c r="AT116" s="44">
        <v>12</v>
      </c>
      <c r="AV116" s="408" t="s">
        <v>47</v>
      </c>
      <c r="AW116" s="409"/>
      <c r="AX116" s="34">
        <v>3</v>
      </c>
    </row>
    <row r="117" spans="1:50" ht="17" thickBot="1" x14ac:dyDescent="0.25">
      <c r="A117" s="2"/>
      <c r="B117" s="2"/>
      <c r="C117" s="30"/>
      <c r="D117" s="30"/>
      <c r="E117" s="30"/>
      <c r="F117" s="30"/>
      <c r="G117" s="30"/>
      <c r="H117" s="30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51"/>
      <c r="V117" s="2"/>
      <c r="W117" s="2"/>
      <c r="X117" s="2"/>
      <c r="Y117" s="2"/>
      <c r="Z117" s="2"/>
      <c r="AA117" s="2"/>
      <c r="AB117" s="2"/>
      <c r="AC117" s="2"/>
      <c r="AD117" s="153"/>
      <c r="AE117" s="2"/>
      <c r="AF117" s="2"/>
      <c r="AG117" s="51"/>
      <c r="AH117" s="2"/>
      <c r="AI117" s="51"/>
      <c r="AJ117" s="2"/>
      <c r="AK117" s="51"/>
      <c r="AL117" s="2"/>
      <c r="AM117" s="2"/>
      <c r="AN117" s="2"/>
      <c r="AO117" s="2"/>
      <c r="AP117" s="2"/>
      <c r="AR117" s="48">
        <v>10</v>
      </c>
      <c r="AS117" s="10" t="s">
        <v>156</v>
      </c>
      <c r="AT117" s="15">
        <v>45</v>
      </c>
      <c r="AV117" s="404" t="s">
        <v>152</v>
      </c>
      <c r="AW117" s="405"/>
      <c r="AX117" s="29">
        <v>2.1</v>
      </c>
    </row>
    <row r="118" spans="1:50" x14ac:dyDescent="0.2">
      <c r="A118" s="2"/>
      <c r="B118" s="2"/>
      <c r="C118" s="30"/>
      <c r="D118" s="30"/>
      <c r="E118" s="30"/>
      <c r="F118" s="30"/>
      <c r="G118" s="30"/>
      <c r="H118" s="3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51"/>
      <c r="V118" s="2"/>
      <c r="W118" s="2"/>
      <c r="X118" s="2"/>
      <c r="Y118" s="2"/>
      <c r="Z118" s="2"/>
      <c r="AA118" s="2"/>
      <c r="AB118" s="2"/>
      <c r="AC118" s="2"/>
      <c r="AD118" s="153"/>
      <c r="AE118" s="2"/>
      <c r="AF118" s="2"/>
      <c r="AG118" s="51"/>
      <c r="AH118" s="2"/>
      <c r="AI118" s="51"/>
      <c r="AJ118" s="2"/>
      <c r="AK118" s="51"/>
      <c r="AL118" s="2"/>
      <c r="AM118" s="2"/>
      <c r="AN118" s="2"/>
      <c r="AO118" s="2"/>
      <c r="AP118" s="2"/>
      <c r="AR118" s="47">
        <v>11</v>
      </c>
      <c r="AS118" s="40" t="s">
        <v>157</v>
      </c>
      <c r="AT118" s="44">
        <v>12</v>
      </c>
      <c r="AV118" s="406" t="s">
        <v>97</v>
      </c>
      <c r="AW118" s="407"/>
      <c r="AX118" s="15">
        <v>1.4</v>
      </c>
    </row>
    <row r="119" spans="1:50" ht="17" thickBot="1" x14ac:dyDescent="0.25">
      <c r="A119" s="2"/>
      <c r="B119" s="2"/>
      <c r="C119" s="30"/>
      <c r="D119" s="30"/>
      <c r="E119" s="30"/>
      <c r="F119" s="30"/>
      <c r="G119" s="30"/>
      <c r="H119" s="30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51"/>
      <c r="V119" s="2"/>
      <c r="W119" s="2"/>
      <c r="X119" s="2"/>
      <c r="Y119" s="2"/>
      <c r="Z119" s="2"/>
      <c r="AA119" s="2"/>
      <c r="AB119" s="2"/>
      <c r="AC119" s="2"/>
      <c r="AD119" s="153"/>
      <c r="AE119" s="2"/>
      <c r="AF119" s="2"/>
      <c r="AG119" s="51"/>
      <c r="AH119" s="2"/>
      <c r="AI119" s="51"/>
      <c r="AJ119" s="2"/>
      <c r="AK119" s="51"/>
      <c r="AL119" s="2"/>
      <c r="AM119" s="2"/>
      <c r="AN119" s="2"/>
      <c r="AO119" s="2"/>
      <c r="AP119" s="2"/>
      <c r="AR119" s="48">
        <v>12</v>
      </c>
      <c r="AS119" s="10" t="s">
        <v>158</v>
      </c>
      <c r="AT119" s="15">
        <v>45</v>
      </c>
      <c r="AV119" s="408" t="s">
        <v>47</v>
      </c>
      <c r="AW119" s="409"/>
      <c r="AX119" s="34">
        <v>3</v>
      </c>
    </row>
    <row r="120" spans="1:50" x14ac:dyDescent="0.2">
      <c r="A120" s="2"/>
      <c r="B120" s="2"/>
      <c r="C120" s="30"/>
      <c r="D120" s="30"/>
      <c r="E120" s="30"/>
      <c r="F120" s="30"/>
      <c r="G120" s="30"/>
      <c r="H120" s="3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51"/>
      <c r="V120" s="2"/>
      <c r="W120" s="2"/>
      <c r="X120" s="2"/>
      <c r="Y120" s="2"/>
      <c r="Z120" s="2"/>
      <c r="AA120" s="2"/>
      <c r="AB120" s="2"/>
      <c r="AC120" s="2"/>
      <c r="AD120" s="153"/>
      <c r="AE120" s="2"/>
      <c r="AF120" s="2"/>
      <c r="AG120" s="51"/>
      <c r="AH120" s="2"/>
      <c r="AI120" s="51"/>
      <c r="AJ120" s="2"/>
      <c r="AK120" s="51"/>
      <c r="AL120" s="2"/>
      <c r="AM120" s="2"/>
      <c r="AN120" s="2"/>
      <c r="AO120" s="2"/>
      <c r="AP120" s="2"/>
      <c r="AV120" s="404" t="s">
        <v>153</v>
      </c>
      <c r="AW120" s="405"/>
      <c r="AX120" s="29">
        <v>3.1</v>
      </c>
    </row>
    <row r="121" spans="1:50" x14ac:dyDescent="0.2">
      <c r="A121" s="2"/>
      <c r="B121" s="2"/>
      <c r="C121" s="30"/>
      <c r="D121" s="30"/>
      <c r="E121" s="30"/>
      <c r="F121" s="30"/>
      <c r="G121" s="30"/>
      <c r="H121" s="30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51"/>
      <c r="V121" s="2"/>
      <c r="W121" s="2"/>
      <c r="X121" s="2"/>
      <c r="Y121" s="2"/>
      <c r="Z121" s="2"/>
      <c r="AA121" s="2"/>
      <c r="AB121" s="2"/>
      <c r="AC121" s="2"/>
      <c r="AD121" s="153"/>
      <c r="AE121" s="2"/>
      <c r="AF121" s="2"/>
      <c r="AG121" s="51"/>
      <c r="AH121" s="2"/>
      <c r="AI121" s="51"/>
      <c r="AJ121" s="2"/>
      <c r="AK121" s="51"/>
      <c r="AL121" s="2"/>
      <c r="AM121" s="2"/>
      <c r="AN121" s="2"/>
      <c r="AO121" s="2"/>
      <c r="AP121" s="2"/>
      <c r="AV121" s="406" t="s">
        <v>97</v>
      </c>
      <c r="AW121" s="407"/>
      <c r="AX121" s="15">
        <v>1.4</v>
      </c>
    </row>
    <row r="122" spans="1:50" ht="17" thickBot="1" x14ac:dyDescent="0.25">
      <c r="A122" s="2"/>
      <c r="B122" s="2"/>
      <c r="C122" s="30"/>
      <c r="D122" s="30"/>
      <c r="E122" s="30"/>
      <c r="F122" s="30"/>
      <c r="G122" s="30"/>
      <c r="H122" s="30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51"/>
      <c r="V122" s="2"/>
      <c r="W122" s="2"/>
      <c r="X122" s="2"/>
      <c r="Y122" s="2"/>
      <c r="Z122" s="2"/>
      <c r="AA122" s="2"/>
      <c r="AB122" s="2"/>
      <c r="AC122" s="2"/>
      <c r="AD122" s="153"/>
      <c r="AE122" s="2"/>
      <c r="AF122" s="2"/>
      <c r="AG122" s="51"/>
      <c r="AH122" s="2"/>
      <c r="AI122" s="51"/>
      <c r="AJ122" s="2"/>
      <c r="AK122" s="51"/>
      <c r="AL122" s="2"/>
      <c r="AM122" s="2"/>
      <c r="AN122" s="2"/>
      <c r="AO122" s="2"/>
      <c r="AP122" s="2"/>
      <c r="AV122" s="408" t="s">
        <v>47</v>
      </c>
      <c r="AW122" s="409"/>
      <c r="AX122" s="34">
        <v>3</v>
      </c>
    </row>
    <row r="123" spans="1:50" x14ac:dyDescent="0.2">
      <c r="A123" s="2"/>
      <c r="B123" s="2"/>
      <c r="C123" s="30"/>
      <c r="D123" s="30"/>
      <c r="E123" s="30"/>
      <c r="F123" s="30"/>
      <c r="G123" s="30"/>
      <c r="H123" s="30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51"/>
      <c r="V123" s="2"/>
      <c r="W123" s="2"/>
      <c r="X123" s="2"/>
      <c r="Y123" s="2"/>
      <c r="Z123" s="2"/>
      <c r="AA123" s="2"/>
      <c r="AB123" s="2"/>
      <c r="AC123" s="2"/>
      <c r="AD123" s="153"/>
      <c r="AE123" s="2"/>
      <c r="AF123" s="2"/>
      <c r="AG123" s="51"/>
      <c r="AH123" s="2"/>
      <c r="AI123" s="51"/>
      <c r="AJ123" s="2"/>
      <c r="AK123" s="51"/>
      <c r="AL123" s="2"/>
      <c r="AM123" s="2"/>
      <c r="AN123" s="2"/>
      <c r="AO123" s="2"/>
      <c r="AP123" s="2"/>
    </row>
    <row r="124" spans="1:50" x14ac:dyDescent="0.2">
      <c r="B124" s="2"/>
      <c r="C124" s="30"/>
      <c r="D124" s="30"/>
      <c r="E124" s="30"/>
      <c r="F124" s="30"/>
      <c r="G124" s="30"/>
      <c r="H124" s="30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51"/>
      <c r="V124" s="2"/>
      <c r="W124" s="2"/>
      <c r="X124" s="2"/>
      <c r="Y124" s="2"/>
      <c r="Z124" s="2"/>
      <c r="AA124" s="2"/>
      <c r="AB124" s="2"/>
      <c r="AC124" s="2"/>
      <c r="AD124" s="153"/>
      <c r="AE124" s="2"/>
      <c r="AF124" s="2"/>
      <c r="AG124" s="51"/>
      <c r="AH124" s="2"/>
      <c r="AI124" s="51"/>
      <c r="AJ124" s="2"/>
      <c r="AK124" s="51"/>
      <c r="AL124" s="2"/>
      <c r="AM124" s="2"/>
      <c r="AN124" s="2"/>
      <c r="AO124" s="2"/>
      <c r="AP124" s="2"/>
    </row>
  </sheetData>
  <mergeCells count="139">
    <mergeCell ref="E4:E5"/>
    <mergeCell ref="AV117:AW117"/>
    <mergeCell ref="AV118:AW118"/>
    <mergeCell ref="AV119:AW119"/>
    <mergeCell ref="AV115:AW115"/>
    <mergeCell ref="AV116:AW116"/>
    <mergeCell ref="AP4:AP5"/>
    <mergeCell ref="B4:B5"/>
    <mergeCell ref="C4:C5"/>
    <mergeCell ref="D4:D5"/>
    <mergeCell ref="F4:F5"/>
    <mergeCell ref="G4:H4"/>
    <mergeCell ref="I4:I5"/>
    <mergeCell ref="W4:X4"/>
    <mergeCell ref="Y4:Z4"/>
    <mergeCell ref="AA4:AD4"/>
    <mergeCell ref="AE4:AF4"/>
    <mergeCell ref="AG4:AH4"/>
    <mergeCell ref="AI4:AJ4"/>
    <mergeCell ref="J4:K4"/>
    <mergeCell ref="L4:M4"/>
    <mergeCell ref="P4:Q4"/>
    <mergeCell ref="R4:R5"/>
    <mergeCell ref="T4:T5"/>
    <mergeCell ref="U4:V4"/>
    <mergeCell ref="AR12:AS12"/>
    <mergeCell ref="AR13:AS13"/>
    <mergeCell ref="AK4:AL4"/>
    <mergeCell ref="AN4:AN5"/>
    <mergeCell ref="AR6:AX6"/>
    <mergeCell ref="AR7:AW7"/>
    <mergeCell ref="AR8:AS8"/>
    <mergeCell ref="AT8:AV8"/>
    <mergeCell ref="AW8:AX8"/>
    <mergeCell ref="AO4:AO5"/>
    <mergeCell ref="AV114:AW114"/>
    <mergeCell ref="AR19:AS19"/>
    <mergeCell ref="AR22:AX22"/>
    <mergeCell ref="AR15:AS15"/>
    <mergeCell ref="AR16:AS16"/>
    <mergeCell ref="AR17:AS17"/>
    <mergeCell ref="AR14:AS14"/>
    <mergeCell ref="AR9:AS9"/>
    <mergeCell ref="AR10:AS10"/>
    <mergeCell ref="AR11:AS11"/>
    <mergeCell ref="AR25:AS25"/>
    <mergeCell ref="AR26:AS26"/>
    <mergeCell ref="AR27:AS27"/>
    <mergeCell ref="AR28:AS28"/>
    <mergeCell ref="AR29:AS29"/>
    <mergeCell ref="AR30:AS30"/>
    <mergeCell ref="AR23:AW23"/>
    <mergeCell ref="AR24:AS24"/>
    <mergeCell ref="AT24:AV24"/>
    <mergeCell ref="AW24:AX24"/>
    <mergeCell ref="AR40:AS40"/>
    <mergeCell ref="AT40:AV40"/>
    <mergeCell ref="AW40:AX40"/>
    <mergeCell ref="AR42:AS42"/>
    <mergeCell ref="AR43:AS43"/>
    <mergeCell ref="AR31:AS31"/>
    <mergeCell ref="AR32:AS32"/>
    <mergeCell ref="AR33:AS33"/>
    <mergeCell ref="AR35:AS35"/>
    <mergeCell ref="AR38:AX38"/>
    <mergeCell ref="AR39:AW39"/>
    <mergeCell ref="AR41:AS41"/>
    <mergeCell ref="AR52:AS52"/>
    <mergeCell ref="AR53:AX53"/>
    <mergeCell ref="AR55:AX55"/>
    <mergeCell ref="AR56:AW56"/>
    <mergeCell ref="AR57:AS57"/>
    <mergeCell ref="AT57:AV57"/>
    <mergeCell ref="AW57:AX57"/>
    <mergeCell ref="AR44:AS44"/>
    <mergeCell ref="AR45:AS45"/>
    <mergeCell ref="AR46:AS46"/>
    <mergeCell ref="AR47:AS47"/>
    <mergeCell ref="AR48:AS48"/>
    <mergeCell ref="AR49:AS49"/>
    <mergeCell ref="AR50:AS50"/>
    <mergeCell ref="AR64:AS64"/>
    <mergeCell ref="AR65:AS65"/>
    <mergeCell ref="AR66:AS66"/>
    <mergeCell ref="AR72:AX72"/>
    <mergeCell ref="AR58:AS58"/>
    <mergeCell ref="AR59:AS59"/>
    <mergeCell ref="AR60:AS60"/>
    <mergeCell ref="AR61:AS61"/>
    <mergeCell ref="AR62:AS62"/>
    <mergeCell ref="AR63:AS63"/>
    <mergeCell ref="AR97:AS97"/>
    <mergeCell ref="AR67:AS67"/>
    <mergeCell ref="AR69:AS69"/>
    <mergeCell ref="A4:A5"/>
    <mergeCell ref="AR83:AS83"/>
    <mergeCell ref="AR84:AS84"/>
    <mergeCell ref="AR86:AS86"/>
    <mergeCell ref="AR89:AX89"/>
    <mergeCell ref="AR90:AW90"/>
    <mergeCell ref="AR91:AS91"/>
    <mergeCell ref="AT91:AV91"/>
    <mergeCell ref="AW91:AX91"/>
    <mergeCell ref="AR77:AS77"/>
    <mergeCell ref="AR78:AS78"/>
    <mergeCell ref="AR79:AS79"/>
    <mergeCell ref="AR80:AS80"/>
    <mergeCell ref="AR81:AS81"/>
    <mergeCell ref="AR82:AS82"/>
    <mergeCell ref="AR73:AW73"/>
    <mergeCell ref="AR74:AS74"/>
    <mergeCell ref="AT74:AV74"/>
    <mergeCell ref="AW74:AX74"/>
    <mergeCell ref="AR75:AS75"/>
    <mergeCell ref="AR76:AS76"/>
    <mergeCell ref="AV120:AW120"/>
    <mergeCell ref="AV121:AW121"/>
    <mergeCell ref="AV122:AW122"/>
    <mergeCell ref="AV113:AX113"/>
    <mergeCell ref="AR112:AX112"/>
    <mergeCell ref="AM4:AM5"/>
    <mergeCell ref="S4:S5"/>
    <mergeCell ref="N4:O4"/>
    <mergeCell ref="AR51:AS51"/>
    <mergeCell ref="AR68:AS68"/>
    <mergeCell ref="AR85:AS85"/>
    <mergeCell ref="AR102:AS102"/>
    <mergeCell ref="AR113:AT113"/>
    <mergeCell ref="AR106:AT106"/>
    <mergeCell ref="AR98:AS98"/>
    <mergeCell ref="AR99:AS99"/>
    <mergeCell ref="AR100:AS100"/>
    <mergeCell ref="AR101:AS101"/>
    <mergeCell ref="AR103:AS103"/>
    <mergeCell ref="AR92:AS92"/>
    <mergeCell ref="AR93:AS93"/>
    <mergeCell ref="AR94:AS94"/>
    <mergeCell ref="AR95:AS95"/>
    <mergeCell ref="AR96:AS96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B643-F96A-6D4F-96DB-8494F0842EE8}">
  <dimension ref="A1:K875"/>
  <sheetViews>
    <sheetView workbookViewId="0">
      <selection activeCell="I18" sqref="I18:I22"/>
    </sheetView>
  </sheetViews>
  <sheetFormatPr baseColWidth="10" defaultColWidth="12.5" defaultRowHeight="16" x14ac:dyDescent="0.2"/>
  <cols>
    <col min="1" max="1" width="9.1640625" customWidth="1"/>
    <col min="2" max="2" width="35" customWidth="1"/>
    <col min="3" max="5" width="12.6640625" customWidth="1"/>
    <col min="6" max="7" width="15.6640625" customWidth="1"/>
    <col min="8" max="9" width="15.6640625" style="82" customWidth="1"/>
    <col min="10" max="10" width="13.5" bestFit="1" customWidth="1"/>
    <col min="11" max="27" width="8.5" customWidth="1"/>
  </cols>
  <sheetData>
    <row r="1" spans="1:11" ht="19" x14ac:dyDescent="0.25">
      <c r="A1" s="490" t="s">
        <v>71</v>
      </c>
      <c r="B1" s="490"/>
      <c r="C1" s="490"/>
      <c r="D1" s="490"/>
      <c r="E1" s="490"/>
      <c r="F1" s="490"/>
      <c r="G1" s="490"/>
      <c r="H1" s="490"/>
      <c r="I1" s="490"/>
    </row>
    <row r="2" spans="1:11" ht="32" x14ac:dyDescent="0.2">
      <c r="A2" s="59" t="s">
        <v>72</v>
      </c>
      <c r="B2" s="59" t="s">
        <v>73</v>
      </c>
      <c r="C2" s="60" t="s">
        <v>74</v>
      </c>
      <c r="D2" s="59" t="s">
        <v>18</v>
      </c>
      <c r="E2" s="59" t="s">
        <v>75</v>
      </c>
      <c r="F2" s="59" t="s">
        <v>76</v>
      </c>
      <c r="G2" s="59" t="s">
        <v>77</v>
      </c>
      <c r="H2" s="61" t="s">
        <v>78</v>
      </c>
      <c r="I2" s="62" t="s">
        <v>79</v>
      </c>
    </row>
    <row r="3" spans="1:11" x14ac:dyDescent="0.2">
      <c r="A3" s="63">
        <v>1</v>
      </c>
      <c r="B3" s="64" t="s">
        <v>80</v>
      </c>
      <c r="C3" s="65">
        <v>2</v>
      </c>
      <c r="D3" s="66">
        <v>0</v>
      </c>
      <c r="E3" s="66">
        <f t="shared" ref="E3:E9" si="0">C3*D3</f>
        <v>0</v>
      </c>
      <c r="F3" s="67">
        <f>C3/$C$12</f>
        <v>0.45977011494252878</v>
      </c>
      <c r="G3" s="68">
        <f t="shared" ref="G3:G10" si="1">E3/$E$10</f>
        <v>0</v>
      </c>
      <c r="H3" s="69">
        <f>C3/$C$12</f>
        <v>0.45977011494252878</v>
      </c>
      <c r="I3" s="70">
        <v>0</v>
      </c>
    </row>
    <row r="4" spans="1:11" x14ac:dyDescent="0.2">
      <c r="A4" s="63">
        <v>2</v>
      </c>
      <c r="B4" s="64" t="s">
        <v>81</v>
      </c>
      <c r="C4" s="65">
        <v>1</v>
      </c>
      <c r="D4" s="66">
        <v>2.5</v>
      </c>
      <c r="E4" s="66">
        <f t="shared" si="0"/>
        <v>2.5</v>
      </c>
      <c r="F4" s="67">
        <f t="shared" ref="F4:F9" si="2">C4/$C$12</f>
        <v>0.22988505747126439</v>
      </c>
      <c r="G4" s="68">
        <f t="shared" si="1"/>
        <v>9.0363623219836625E-2</v>
      </c>
      <c r="H4" s="69">
        <f t="shared" ref="H4:H9" si="3">C4/$C$12</f>
        <v>0.22988505747126439</v>
      </c>
      <c r="I4" s="70">
        <f>E4/$C$12</f>
        <v>0.57471264367816099</v>
      </c>
    </row>
    <row r="5" spans="1:11" x14ac:dyDescent="0.2">
      <c r="A5" s="63">
        <v>3</v>
      </c>
      <c r="B5" s="64" t="s">
        <v>58</v>
      </c>
      <c r="C5" s="65">
        <v>0.17499999999999999</v>
      </c>
      <c r="D5" s="66">
        <v>6.8</v>
      </c>
      <c r="E5" s="66">
        <f t="shared" si="0"/>
        <v>1.19</v>
      </c>
      <c r="F5" s="67">
        <f t="shared" si="2"/>
        <v>4.0229885057471264E-2</v>
      </c>
      <c r="G5" s="68">
        <f t="shared" si="1"/>
        <v>4.3013084652642232E-2</v>
      </c>
      <c r="H5" s="69">
        <f t="shared" si="3"/>
        <v>4.0229885057471264E-2</v>
      </c>
      <c r="I5" s="70">
        <f t="shared" ref="I5:I9" si="4">E5/$C$12</f>
        <v>0.27356321839080461</v>
      </c>
    </row>
    <row r="6" spans="1:11" x14ac:dyDescent="0.2">
      <c r="A6" s="63">
        <v>4</v>
      </c>
      <c r="B6" s="64" t="s">
        <v>59</v>
      </c>
      <c r="C6" s="65">
        <v>7.4999999999999997E-2</v>
      </c>
      <c r="D6" s="66">
        <v>7.8</v>
      </c>
      <c r="E6" s="66">
        <f t="shared" si="0"/>
        <v>0.58499999999999996</v>
      </c>
      <c r="F6" s="67">
        <f t="shared" si="2"/>
        <v>1.7241379310344827E-2</v>
      </c>
      <c r="G6" s="68">
        <f t="shared" si="1"/>
        <v>2.1145087833441767E-2</v>
      </c>
      <c r="H6" s="69">
        <f t="shared" si="3"/>
        <v>1.7241379310344827E-2</v>
      </c>
      <c r="I6" s="70">
        <f t="shared" si="4"/>
        <v>0.13448275862068965</v>
      </c>
    </row>
    <row r="7" spans="1:11" x14ac:dyDescent="0.2">
      <c r="A7" s="63">
        <v>5</v>
      </c>
      <c r="B7" s="64" t="s">
        <v>55</v>
      </c>
      <c r="C7" s="65">
        <v>0.04</v>
      </c>
      <c r="D7" s="66">
        <v>2.9</v>
      </c>
      <c r="E7" s="66">
        <f t="shared" si="0"/>
        <v>0.11599999999999999</v>
      </c>
      <c r="F7" s="67">
        <f t="shared" si="2"/>
        <v>9.1954022988505763E-3</v>
      </c>
      <c r="G7" s="68">
        <f t="shared" si="1"/>
        <v>4.1928721174004186E-3</v>
      </c>
      <c r="H7" s="69">
        <f t="shared" si="3"/>
        <v>9.1954022988505763E-3</v>
      </c>
      <c r="I7" s="70">
        <f t="shared" si="4"/>
        <v>2.6666666666666668E-2</v>
      </c>
    </row>
    <row r="8" spans="1:11" x14ac:dyDescent="0.2">
      <c r="A8" s="63">
        <v>6</v>
      </c>
      <c r="B8" s="64" t="s">
        <v>60</v>
      </c>
      <c r="C8" s="65">
        <v>5.0000000000000001E-3</v>
      </c>
      <c r="D8" s="66">
        <v>15</v>
      </c>
      <c r="E8" s="66">
        <f t="shared" si="0"/>
        <v>7.4999999999999997E-2</v>
      </c>
      <c r="F8" s="67">
        <f t="shared" si="2"/>
        <v>1.149425287356322E-3</v>
      </c>
      <c r="G8" s="68">
        <f t="shared" si="1"/>
        <v>2.7109086965950986E-3</v>
      </c>
      <c r="H8" s="69">
        <f t="shared" si="3"/>
        <v>1.149425287356322E-3</v>
      </c>
      <c r="I8" s="70">
        <f t="shared" si="4"/>
        <v>1.7241379310344827E-2</v>
      </c>
    </row>
    <row r="9" spans="1:11" x14ac:dyDescent="0.2">
      <c r="A9" s="63">
        <v>7</v>
      </c>
      <c r="B9" s="64" t="s">
        <v>82</v>
      </c>
      <c r="C9" s="65">
        <v>1.45</v>
      </c>
      <c r="D9" s="71">
        <v>16</v>
      </c>
      <c r="E9" s="66">
        <f t="shared" si="0"/>
        <v>23.2</v>
      </c>
      <c r="F9" s="67">
        <f t="shared" si="2"/>
        <v>0.33333333333333337</v>
      </c>
      <c r="G9" s="68">
        <f t="shared" si="1"/>
        <v>0.83857442348008382</v>
      </c>
      <c r="H9" s="69">
        <f t="shared" si="3"/>
        <v>0.33333333333333337</v>
      </c>
      <c r="I9" s="70">
        <f t="shared" si="4"/>
        <v>5.3333333333333339</v>
      </c>
    </row>
    <row r="10" spans="1:11" x14ac:dyDescent="0.2">
      <c r="A10" s="491" t="s">
        <v>83</v>
      </c>
      <c r="B10" s="492"/>
      <c r="C10" s="72">
        <f>SUM(C3:C9)</f>
        <v>4.7450000000000001</v>
      </c>
      <c r="D10" s="72">
        <f>SUM(D3:D9)</f>
        <v>51</v>
      </c>
      <c r="E10" s="72">
        <f>SUM(E3:E9)</f>
        <v>27.666</v>
      </c>
      <c r="F10" s="73"/>
      <c r="G10" s="74">
        <f t="shared" si="1"/>
        <v>1</v>
      </c>
      <c r="H10" s="75">
        <f>SUM(H3:H9)</f>
        <v>1.0908045977011496</v>
      </c>
      <c r="I10" s="76">
        <f>SUM(I3:I9)</f>
        <v>6.36</v>
      </c>
    </row>
    <row r="11" spans="1:11" ht="28.5" customHeight="1" x14ac:dyDescent="0.2">
      <c r="A11" s="493" t="s">
        <v>84</v>
      </c>
      <c r="B11" s="492"/>
      <c r="C11" s="494">
        <f>E10/C12</f>
        <v>6.36</v>
      </c>
      <c r="D11" s="494"/>
      <c r="E11" s="494"/>
      <c r="F11" s="494"/>
      <c r="G11" s="494"/>
      <c r="H11" s="494"/>
      <c r="I11" s="494"/>
    </row>
    <row r="12" spans="1:11" ht="22" x14ac:dyDescent="0.3">
      <c r="A12" s="495" t="s">
        <v>85</v>
      </c>
      <c r="B12" s="495"/>
      <c r="C12" s="77">
        <v>4.3499999999999996</v>
      </c>
      <c r="D12" s="496" t="s">
        <v>86</v>
      </c>
      <c r="E12" s="496"/>
      <c r="F12" s="496"/>
      <c r="G12" s="497">
        <f>C12/0.03</f>
        <v>145</v>
      </c>
      <c r="H12" s="497"/>
      <c r="I12" s="497"/>
      <c r="K12" s="78">
        <f>I10/G12</f>
        <v>4.3862068965517247E-2</v>
      </c>
    </row>
    <row r="13" spans="1:11" x14ac:dyDescent="0.2">
      <c r="A13" s="79"/>
      <c r="C13" s="80"/>
      <c r="F13" s="81"/>
    </row>
    <row r="14" spans="1:11" ht="15.75" customHeight="1" x14ac:dyDescent="0.2">
      <c r="A14" s="79"/>
      <c r="C14" s="80"/>
    </row>
    <row r="15" spans="1:11" ht="19" x14ac:dyDescent="0.25">
      <c r="A15" s="490" t="s">
        <v>87</v>
      </c>
      <c r="B15" s="490"/>
      <c r="C15" s="490"/>
      <c r="D15" s="490"/>
      <c r="E15" s="490"/>
      <c r="F15" s="490"/>
      <c r="G15" s="490"/>
      <c r="H15" s="490"/>
      <c r="I15" s="490"/>
    </row>
    <row r="16" spans="1:11" ht="32" x14ac:dyDescent="0.2">
      <c r="A16" s="83" t="s">
        <v>72</v>
      </c>
      <c r="B16" s="83" t="s">
        <v>73</v>
      </c>
      <c r="C16" s="84" t="s">
        <v>74</v>
      </c>
      <c r="D16" s="83" t="s">
        <v>18</v>
      </c>
      <c r="E16" s="83" t="s">
        <v>75</v>
      </c>
      <c r="F16" s="83" t="s">
        <v>76</v>
      </c>
      <c r="G16" s="83" t="s">
        <v>77</v>
      </c>
      <c r="H16" s="61" t="s">
        <v>78</v>
      </c>
      <c r="I16" s="62" t="s">
        <v>79</v>
      </c>
    </row>
    <row r="17" spans="1:10" x14ac:dyDescent="0.2">
      <c r="A17" s="63">
        <v>1</v>
      </c>
      <c r="B17" s="64" t="s">
        <v>80</v>
      </c>
      <c r="C17" s="65">
        <v>2</v>
      </c>
      <c r="D17" s="66">
        <v>0</v>
      </c>
      <c r="E17" s="66">
        <f t="shared" ref="E17:E23" si="5">C17*D17</f>
        <v>0</v>
      </c>
      <c r="F17" s="67">
        <f>C17/$C$26</f>
        <v>0.45977011494252878</v>
      </c>
      <c r="G17" s="68">
        <f>E17/$E$24</f>
        <v>0</v>
      </c>
      <c r="H17" s="69">
        <f>C17/$C$26</f>
        <v>0.45977011494252878</v>
      </c>
      <c r="I17" s="70">
        <v>0</v>
      </c>
    </row>
    <row r="18" spans="1:10" x14ac:dyDescent="0.2">
      <c r="A18" s="63">
        <v>2</v>
      </c>
      <c r="B18" s="64" t="s">
        <v>81</v>
      </c>
      <c r="C18" s="65">
        <v>1</v>
      </c>
      <c r="D18" s="66">
        <v>2.5</v>
      </c>
      <c r="E18" s="66">
        <f t="shared" si="5"/>
        <v>2.5</v>
      </c>
      <c r="F18" s="67">
        <f t="shared" ref="F18:F23" si="6">C18/$C$26</f>
        <v>0.22988505747126439</v>
      </c>
      <c r="G18" s="68">
        <f t="shared" ref="G18:G24" si="7">E18/$E$24</f>
        <v>4.9148743758109542E-2</v>
      </c>
      <c r="H18" s="69">
        <f t="shared" ref="H18:H23" si="8">C18/$C$26</f>
        <v>0.22988505747126439</v>
      </c>
      <c r="I18" s="70">
        <f>E18/$C$26</f>
        <v>0.57471264367816099</v>
      </c>
    </row>
    <row r="19" spans="1:10" x14ac:dyDescent="0.2">
      <c r="A19" s="63">
        <v>3</v>
      </c>
      <c r="B19" s="64" t="s">
        <v>58</v>
      </c>
      <c r="C19" s="65">
        <v>0.17499999999999999</v>
      </c>
      <c r="D19" s="66">
        <v>6.8</v>
      </c>
      <c r="E19" s="66">
        <f t="shared" si="5"/>
        <v>1.19</v>
      </c>
      <c r="F19" s="67">
        <f t="shared" si="6"/>
        <v>4.0229885057471264E-2</v>
      </c>
      <c r="G19" s="68">
        <f t="shared" si="7"/>
        <v>2.3394802028860143E-2</v>
      </c>
      <c r="H19" s="69">
        <f t="shared" si="8"/>
        <v>4.0229885057471264E-2</v>
      </c>
      <c r="I19" s="70">
        <f t="shared" ref="I19:I23" si="9">E19/$C$26</f>
        <v>0.27356321839080461</v>
      </c>
    </row>
    <row r="20" spans="1:10" x14ac:dyDescent="0.2">
      <c r="A20" s="63">
        <v>4</v>
      </c>
      <c r="B20" s="64" t="s">
        <v>59</v>
      </c>
      <c r="C20" s="65">
        <v>7.4999999999999997E-2</v>
      </c>
      <c r="D20" s="66">
        <v>7.8</v>
      </c>
      <c r="E20" s="66">
        <f t="shared" si="5"/>
        <v>0.58499999999999996</v>
      </c>
      <c r="F20" s="67">
        <f t="shared" si="6"/>
        <v>1.7241379310344827E-2</v>
      </c>
      <c r="G20" s="68">
        <f t="shared" si="7"/>
        <v>1.1500806039397632E-2</v>
      </c>
      <c r="H20" s="69">
        <f t="shared" si="8"/>
        <v>1.7241379310344827E-2</v>
      </c>
      <c r="I20" s="70">
        <f t="shared" si="9"/>
        <v>0.13448275862068965</v>
      </c>
    </row>
    <row r="21" spans="1:10" x14ac:dyDescent="0.2">
      <c r="A21" s="63">
        <v>5</v>
      </c>
      <c r="B21" s="64" t="s">
        <v>55</v>
      </c>
      <c r="C21" s="65">
        <v>0.04</v>
      </c>
      <c r="D21" s="66">
        <v>2.9</v>
      </c>
      <c r="E21" s="66">
        <f t="shared" si="5"/>
        <v>0.11599999999999999</v>
      </c>
      <c r="F21" s="67">
        <f t="shared" si="6"/>
        <v>9.1954022988505763E-3</v>
      </c>
      <c r="G21" s="68">
        <f t="shared" si="7"/>
        <v>2.2805017103762829E-3</v>
      </c>
      <c r="H21" s="69">
        <f t="shared" si="8"/>
        <v>9.1954022988505763E-3</v>
      </c>
      <c r="I21" s="70">
        <f t="shared" si="9"/>
        <v>2.6666666666666668E-2</v>
      </c>
    </row>
    <row r="22" spans="1:10" x14ac:dyDescent="0.2">
      <c r="A22" s="63">
        <v>6</v>
      </c>
      <c r="B22" s="64" t="s">
        <v>60</v>
      </c>
      <c r="C22" s="65">
        <v>5.0000000000000001E-3</v>
      </c>
      <c r="D22" s="66">
        <v>15</v>
      </c>
      <c r="E22" s="66">
        <f t="shared" si="5"/>
        <v>7.4999999999999997E-2</v>
      </c>
      <c r="F22" s="67">
        <f t="shared" si="6"/>
        <v>1.149425287356322E-3</v>
      </c>
      <c r="G22" s="68">
        <f t="shared" si="7"/>
        <v>1.4744623127432863E-3</v>
      </c>
      <c r="H22" s="69">
        <f t="shared" si="8"/>
        <v>1.149425287356322E-3</v>
      </c>
      <c r="I22" s="70">
        <f t="shared" si="9"/>
        <v>1.7241379310344827E-2</v>
      </c>
    </row>
    <row r="23" spans="1:10" x14ac:dyDescent="0.2">
      <c r="A23" s="63">
        <v>7</v>
      </c>
      <c r="B23" s="64" t="s">
        <v>88</v>
      </c>
      <c r="C23" s="65">
        <v>1.45</v>
      </c>
      <c r="D23" s="71">
        <v>32</v>
      </c>
      <c r="E23" s="66">
        <f t="shared" si="5"/>
        <v>46.4</v>
      </c>
      <c r="F23" s="67">
        <f t="shared" si="6"/>
        <v>0.33333333333333337</v>
      </c>
      <c r="G23" s="68">
        <f t="shared" si="7"/>
        <v>0.91220068415051314</v>
      </c>
      <c r="H23" s="69">
        <f t="shared" si="8"/>
        <v>0.33333333333333337</v>
      </c>
      <c r="I23" s="70">
        <f t="shared" si="9"/>
        <v>10.666666666666668</v>
      </c>
    </row>
    <row r="24" spans="1:10" x14ac:dyDescent="0.2">
      <c r="A24" s="491" t="s">
        <v>83</v>
      </c>
      <c r="B24" s="492"/>
      <c r="C24" s="72"/>
      <c r="D24" s="72">
        <f>SUM(D17:D23)</f>
        <v>67</v>
      </c>
      <c r="E24" s="72">
        <f>SUM(E17:E23)</f>
        <v>50.866</v>
      </c>
      <c r="F24" s="85"/>
      <c r="G24" s="74">
        <f t="shared" si="7"/>
        <v>1</v>
      </c>
      <c r="H24" s="75">
        <f>SUM(H17:H23)</f>
        <v>1.0908045977011496</v>
      </c>
      <c r="I24" s="76">
        <f>SUM(I17:I23)</f>
        <v>11.693333333333335</v>
      </c>
    </row>
    <row r="25" spans="1:10" ht="28.5" customHeight="1" x14ac:dyDescent="0.2">
      <c r="A25" s="493" t="s">
        <v>84</v>
      </c>
      <c r="B25" s="492"/>
      <c r="C25" s="494">
        <f>E24/C26</f>
        <v>11.693333333333333</v>
      </c>
      <c r="D25" s="494"/>
      <c r="E25" s="494"/>
      <c r="F25" s="494"/>
      <c r="G25" s="494"/>
      <c r="H25" s="494"/>
      <c r="I25" s="494"/>
    </row>
    <row r="26" spans="1:10" ht="22" x14ac:dyDescent="0.3">
      <c r="A26" s="495" t="s">
        <v>85</v>
      </c>
      <c r="B26" s="495"/>
      <c r="C26" s="77">
        <v>4.3499999999999996</v>
      </c>
      <c r="D26" s="496" t="s">
        <v>86</v>
      </c>
      <c r="E26" s="496"/>
      <c r="F26" s="496"/>
      <c r="G26" s="497">
        <f>C26/0.03</f>
        <v>145</v>
      </c>
      <c r="H26" s="497"/>
      <c r="I26" s="497"/>
    </row>
    <row r="27" spans="1:10" ht="15.75" customHeight="1" x14ac:dyDescent="0.2">
      <c r="A27" s="79"/>
      <c r="C27" s="80"/>
    </row>
    <row r="28" spans="1:10" ht="15.75" customHeight="1" x14ac:dyDescent="0.2">
      <c r="A28" s="79"/>
      <c r="C28" s="80"/>
    </row>
    <row r="29" spans="1:10" ht="19" x14ac:dyDescent="0.25">
      <c r="A29" s="490" t="s">
        <v>89</v>
      </c>
      <c r="B29" s="490"/>
      <c r="C29" s="490"/>
      <c r="D29" s="490"/>
      <c r="E29" s="490"/>
      <c r="F29" s="490"/>
      <c r="G29" s="490"/>
      <c r="H29" s="490"/>
      <c r="I29" s="490"/>
    </row>
    <row r="30" spans="1:10" ht="32" x14ac:dyDescent="0.2">
      <c r="A30" s="63" t="s">
        <v>72</v>
      </c>
      <c r="B30" s="63" t="s">
        <v>73</v>
      </c>
      <c r="C30" s="86" t="s">
        <v>93</v>
      </c>
      <c r="D30" s="63" t="s">
        <v>18</v>
      </c>
      <c r="E30" s="63" t="s">
        <v>75</v>
      </c>
      <c r="F30" s="63" t="s">
        <v>76</v>
      </c>
      <c r="G30" s="63" t="s">
        <v>77</v>
      </c>
      <c r="H30" s="61" t="s">
        <v>78</v>
      </c>
      <c r="I30" s="62" t="s">
        <v>79</v>
      </c>
    </row>
    <row r="31" spans="1:10" x14ac:dyDescent="0.2">
      <c r="A31" s="63">
        <v>1</v>
      </c>
      <c r="B31" s="64" t="s">
        <v>80</v>
      </c>
      <c r="C31" s="90">
        <v>2000</v>
      </c>
      <c r="D31" s="66">
        <v>0</v>
      </c>
      <c r="E31" s="66">
        <f t="shared" ref="E31" si="10">C31*D31</f>
        <v>0</v>
      </c>
      <c r="F31" s="67">
        <f>C31/$C$40</f>
        <v>0.45977011494252873</v>
      </c>
      <c r="G31" s="68">
        <f>E31/$E$38</f>
        <v>0</v>
      </c>
      <c r="H31" s="88">
        <f>C31/$C$40</f>
        <v>0.45977011494252873</v>
      </c>
      <c r="I31" s="70">
        <v>0</v>
      </c>
    </row>
    <row r="32" spans="1:10" x14ac:dyDescent="0.2">
      <c r="A32" s="63">
        <v>2</v>
      </c>
      <c r="B32" s="64" t="s">
        <v>81</v>
      </c>
      <c r="C32" s="90">
        <v>1000</v>
      </c>
      <c r="D32" s="66">
        <v>2.5</v>
      </c>
      <c r="E32" s="66">
        <f>C32*D32/1000</f>
        <v>2.5</v>
      </c>
      <c r="F32" s="67">
        <f>C32/$C$40</f>
        <v>0.22988505747126436</v>
      </c>
      <c r="G32" s="68">
        <f t="shared" ref="G32:G38" si="11">E32/$E$38</f>
        <v>4.5276731382208057E-2</v>
      </c>
      <c r="H32" s="88">
        <f>C32/$C$40</f>
        <v>0.22988505747126436</v>
      </c>
      <c r="I32" s="70">
        <f>E32/$C$40*1000</f>
        <v>0.57471264367816088</v>
      </c>
      <c r="J32" s="78"/>
    </row>
    <row r="33" spans="1:10" x14ac:dyDescent="0.2">
      <c r="A33" s="63">
        <v>3</v>
      </c>
      <c r="B33" s="64" t="s">
        <v>58</v>
      </c>
      <c r="C33" s="90">
        <v>175</v>
      </c>
      <c r="D33" s="66">
        <v>6.8</v>
      </c>
      <c r="E33" s="66">
        <f t="shared" ref="E33:E36" si="12">C33*D33/1000</f>
        <v>1.19</v>
      </c>
      <c r="F33" s="67">
        <f>C33/$C$40</f>
        <v>4.0229885057471264E-2</v>
      </c>
      <c r="G33" s="68">
        <f t="shared" si="11"/>
        <v>2.1551724137931032E-2</v>
      </c>
      <c r="H33" s="88">
        <f t="shared" ref="H33:H37" si="13">C33/$C$40</f>
        <v>4.0229885057471264E-2</v>
      </c>
      <c r="I33" s="70">
        <f t="shared" ref="I33:I37" si="14">E33/$C$40*1000</f>
        <v>0.27356321839080455</v>
      </c>
      <c r="J33" s="78"/>
    </row>
    <row r="34" spans="1:10" x14ac:dyDescent="0.2">
      <c r="A34" s="63">
        <v>4</v>
      </c>
      <c r="B34" s="64" t="s">
        <v>59</v>
      </c>
      <c r="C34" s="90">
        <v>75</v>
      </c>
      <c r="D34" s="66">
        <v>7.8</v>
      </c>
      <c r="E34" s="66">
        <f t="shared" si="12"/>
        <v>0.58499999999999996</v>
      </c>
      <c r="F34" s="67">
        <f>C34/$C$40</f>
        <v>1.7241379310344827E-2</v>
      </c>
      <c r="G34" s="68">
        <f t="shared" si="11"/>
        <v>1.0594755143436684E-2</v>
      </c>
      <c r="H34" s="88">
        <f t="shared" si="13"/>
        <v>1.7241379310344827E-2</v>
      </c>
      <c r="I34" s="70">
        <f t="shared" si="14"/>
        <v>0.13448275862068965</v>
      </c>
      <c r="J34" s="78"/>
    </row>
    <row r="35" spans="1:10" x14ac:dyDescent="0.2">
      <c r="A35" s="63">
        <v>5</v>
      </c>
      <c r="B35" s="64" t="s">
        <v>55</v>
      </c>
      <c r="C35" s="90">
        <v>40</v>
      </c>
      <c r="D35" s="66">
        <v>2.9</v>
      </c>
      <c r="E35" s="66">
        <f t="shared" si="12"/>
        <v>0.11600000000000001</v>
      </c>
      <c r="F35" s="67">
        <f>C35/$C$40</f>
        <v>9.1954022988505746E-3</v>
      </c>
      <c r="G35" s="68">
        <f t="shared" si="11"/>
        <v>2.1008403361344537E-3</v>
      </c>
      <c r="H35" s="88">
        <f t="shared" si="13"/>
        <v>9.1954022988505746E-3</v>
      </c>
      <c r="I35" s="70">
        <f t="shared" si="14"/>
        <v>2.6666666666666665E-2</v>
      </c>
      <c r="J35" s="78"/>
    </row>
    <row r="36" spans="1:10" x14ac:dyDescent="0.2">
      <c r="A36" s="63">
        <v>6</v>
      </c>
      <c r="B36" s="64" t="s">
        <v>60</v>
      </c>
      <c r="C36" s="90">
        <v>5</v>
      </c>
      <c r="D36" s="66">
        <v>15</v>
      </c>
      <c r="E36" s="66">
        <f t="shared" si="12"/>
        <v>7.4999999999999997E-2</v>
      </c>
      <c r="F36" s="67">
        <f t="shared" ref="F36:F37" si="15">C36/$C$40</f>
        <v>1.1494252873563218E-3</v>
      </c>
      <c r="G36" s="68">
        <f t="shared" si="11"/>
        <v>1.3583019414662417E-3</v>
      </c>
      <c r="H36" s="88">
        <f t="shared" si="13"/>
        <v>1.1494252873563218E-3</v>
      </c>
      <c r="I36" s="70">
        <f t="shared" si="14"/>
        <v>1.7241379310344827E-2</v>
      </c>
      <c r="J36" s="78"/>
    </row>
    <row r="37" spans="1:10" x14ac:dyDescent="0.2">
      <c r="A37" s="63">
        <v>7</v>
      </c>
      <c r="B37" s="64" t="s">
        <v>90</v>
      </c>
      <c r="C37" s="90">
        <v>1450</v>
      </c>
      <c r="D37" s="71">
        <v>35</v>
      </c>
      <c r="E37" s="66">
        <f>C37*D37/1000</f>
        <v>50.75</v>
      </c>
      <c r="F37" s="67">
        <f t="shared" si="15"/>
        <v>0.33333333333333331</v>
      </c>
      <c r="G37" s="68">
        <f t="shared" si="11"/>
        <v>0.91911764705882348</v>
      </c>
      <c r="H37" s="88">
        <f t="shared" si="13"/>
        <v>0.33333333333333331</v>
      </c>
      <c r="I37" s="70">
        <f t="shared" si="14"/>
        <v>11.666666666666668</v>
      </c>
    </row>
    <row r="38" spans="1:10" x14ac:dyDescent="0.2">
      <c r="A38" s="491" t="s">
        <v>83</v>
      </c>
      <c r="B38" s="492"/>
      <c r="C38" s="72"/>
      <c r="D38" s="72">
        <f>SUM(D31:D37)</f>
        <v>70</v>
      </c>
      <c r="E38" s="72">
        <f>SUM(E31:E37)</f>
        <v>55.216000000000001</v>
      </c>
      <c r="F38" s="67"/>
      <c r="G38" s="74">
        <f t="shared" si="11"/>
        <v>1</v>
      </c>
      <c r="H38" s="75">
        <f>SUM(H31:H37)</f>
        <v>1.0908045977011493</v>
      </c>
      <c r="I38" s="76">
        <f>SUM(I31:I37)</f>
        <v>12.693333333333335</v>
      </c>
    </row>
    <row r="39" spans="1:10" ht="28.5" customHeight="1" x14ac:dyDescent="0.2">
      <c r="A39" s="493" t="s">
        <v>84</v>
      </c>
      <c r="B39" s="492"/>
      <c r="C39" s="494">
        <f>E38/C40</f>
        <v>1.2693333333333334E-2</v>
      </c>
      <c r="D39" s="494"/>
      <c r="E39" s="494"/>
      <c r="F39" s="494"/>
      <c r="G39" s="494"/>
      <c r="H39" s="494"/>
      <c r="I39" s="494"/>
    </row>
    <row r="40" spans="1:10" ht="22" x14ac:dyDescent="0.3">
      <c r="A40" s="495" t="s">
        <v>85</v>
      </c>
      <c r="B40" s="495"/>
      <c r="C40" s="91">
        <v>4350</v>
      </c>
      <c r="D40" s="496" t="s">
        <v>86</v>
      </c>
      <c r="E40" s="496"/>
      <c r="F40" s="496"/>
      <c r="G40" s="497">
        <f>C40/0.03/1000</f>
        <v>145</v>
      </c>
      <c r="H40" s="497"/>
      <c r="I40" s="497"/>
      <c r="J40" s="89"/>
    </row>
    <row r="41" spans="1:10" ht="15.75" customHeight="1" x14ac:dyDescent="0.2">
      <c r="A41" s="79"/>
      <c r="C41" s="80"/>
    </row>
    <row r="42" spans="1:10" ht="15.75" customHeight="1" x14ac:dyDescent="0.2">
      <c r="A42" s="79"/>
      <c r="C42" s="80"/>
    </row>
    <row r="43" spans="1:10" ht="19" x14ac:dyDescent="0.25">
      <c r="A43" s="490" t="s">
        <v>91</v>
      </c>
      <c r="B43" s="490"/>
      <c r="C43" s="490"/>
      <c r="D43" s="490"/>
      <c r="E43" s="490"/>
      <c r="F43" s="490"/>
      <c r="G43" s="490"/>
      <c r="H43" s="490"/>
      <c r="I43" s="490"/>
    </row>
    <row r="44" spans="1:10" ht="32" x14ac:dyDescent="0.2">
      <c r="A44" s="63" t="s">
        <v>72</v>
      </c>
      <c r="B44" s="63" t="s">
        <v>73</v>
      </c>
      <c r="C44" s="86" t="s">
        <v>74</v>
      </c>
      <c r="D44" s="63" t="s">
        <v>18</v>
      </c>
      <c r="E44" s="63" t="s">
        <v>75</v>
      </c>
      <c r="F44" s="63" t="s">
        <v>76</v>
      </c>
      <c r="G44" s="63" t="s">
        <v>77</v>
      </c>
      <c r="H44" s="61" t="s">
        <v>78</v>
      </c>
      <c r="I44" s="62" t="s">
        <v>79</v>
      </c>
    </row>
    <row r="45" spans="1:10" x14ac:dyDescent="0.2">
      <c r="A45" s="63">
        <v>1</v>
      </c>
      <c r="B45" s="64" t="s">
        <v>80</v>
      </c>
      <c r="C45" s="65">
        <v>2</v>
      </c>
      <c r="D45" s="66">
        <v>0</v>
      </c>
      <c r="E45" s="66">
        <f t="shared" ref="E45:E51" si="16">C45*D45</f>
        <v>0</v>
      </c>
      <c r="F45" s="67">
        <f>C45/$C$54</f>
        <v>0.45977011494252878</v>
      </c>
      <c r="G45" s="68">
        <f>E45/$E$52</f>
        <v>0</v>
      </c>
      <c r="H45" s="69">
        <f>C45/$C$54</f>
        <v>0.45977011494252878</v>
      </c>
      <c r="I45" s="70">
        <v>0</v>
      </c>
    </row>
    <row r="46" spans="1:10" x14ac:dyDescent="0.2">
      <c r="A46" s="63">
        <v>2</v>
      </c>
      <c r="B46" s="64" t="s">
        <v>81</v>
      </c>
      <c r="C46" s="65">
        <v>1</v>
      </c>
      <c r="D46" s="66">
        <v>2.5</v>
      </c>
      <c r="E46" s="66">
        <f t="shared" si="16"/>
        <v>2.5</v>
      </c>
      <c r="F46" s="67">
        <f t="shared" ref="F46:F51" si="17">C46/$C$54</f>
        <v>0.22988505747126439</v>
      </c>
      <c r="G46" s="68">
        <f t="shared" ref="G46:G51" si="18">E46/$E$52</f>
        <v>6.8745531540449878E-2</v>
      </c>
      <c r="H46" s="69">
        <f t="shared" ref="H46:H51" si="19">C46/$C$54</f>
        <v>0.22988505747126439</v>
      </c>
      <c r="I46" s="70">
        <f>E46/$C$54</f>
        <v>0.57471264367816099</v>
      </c>
    </row>
    <row r="47" spans="1:10" x14ac:dyDescent="0.2">
      <c r="A47" s="63">
        <v>3</v>
      </c>
      <c r="B47" s="64" t="s">
        <v>58</v>
      </c>
      <c r="C47" s="65">
        <v>0.17499999999999999</v>
      </c>
      <c r="D47" s="66">
        <v>6.8</v>
      </c>
      <c r="E47" s="66">
        <f t="shared" si="16"/>
        <v>1.19</v>
      </c>
      <c r="F47" s="67">
        <f t="shared" si="17"/>
        <v>4.0229885057471264E-2</v>
      </c>
      <c r="G47" s="68">
        <f t="shared" si="18"/>
        <v>3.272287301325414E-2</v>
      </c>
      <c r="H47" s="69">
        <f t="shared" si="19"/>
        <v>4.0229885057471264E-2</v>
      </c>
      <c r="I47" s="70">
        <f t="shared" ref="I47:I51" si="20">E47/$C$54</f>
        <v>0.27356321839080461</v>
      </c>
    </row>
    <row r="48" spans="1:10" x14ac:dyDescent="0.2">
      <c r="A48" s="63">
        <v>4</v>
      </c>
      <c r="B48" s="64" t="s">
        <v>59</v>
      </c>
      <c r="C48" s="65">
        <v>7.4999999999999997E-2</v>
      </c>
      <c r="D48" s="66">
        <v>7.8</v>
      </c>
      <c r="E48" s="66">
        <f t="shared" si="16"/>
        <v>0.58499999999999996</v>
      </c>
      <c r="F48" s="67">
        <f t="shared" si="17"/>
        <v>1.7241379310344827E-2</v>
      </c>
      <c r="G48" s="68">
        <f t="shared" si="18"/>
        <v>1.608645438046527E-2</v>
      </c>
      <c r="H48" s="69">
        <f t="shared" si="19"/>
        <v>1.7241379310344827E-2</v>
      </c>
      <c r="I48" s="70">
        <f t="shared" si="20"/>
        <v>0.13448275862068965</v>
      </c>
    </row>
    <row r="49" spans="1:9" x14ac:dyDescent="0.2">
      <c r="A49" s="63">
        <v>5</v>
      </c>
      <c r="B49" s="64" t="s">
        <v>55</v>
      </c>
      <c r="C49" s="65">
        <v>0.04</v>
      </c>
      <c r="D49" s="66">
        <v>2.9</v>
      </c>
      <c r="E49" s="66">
        <f t="shared" si="16"/>
        <v>0.11599999999999999</v>
      </c>
      <c r="F49" s="67">
        <f t="shared" si="17"/>
        <v>9.1954022988505763E-3</v>
      </c>
      <c r="G49" s="68">
        <f t="shared" si="18"/>
        <v>3.189792663476874E-3</v>
      </c>
      <c r="H49" s="69">
        <f t="shared" si="19"/>
        <v>9.1954022988505763E-3</v>
      </c>
      <c r="I49" s="70">
        <f t="shared" si="20"/>
        <v>2.6666666666666668E-2</v>
      </c>
    </row>
    <row r="50" spans="1:9" x14ac:dyDescent="0.2">
      <c r="A50" s="63">
        <v>6</v>
      </c>
      <c r="B50" s="64" t="s">
        <v>60</v>
      </c>
      <c r="C50" s="65">
        <v>5.0000000000000001E-3</v>
      </c>
      <c r="D50" s="66">
        <v>15</v>
      </c>
      <c r="E50" s="66">
        <f t="shared" si="16"/>
        <v>7.4999999999999997E-2</v>
      </c>
      <c r="F50" s="67">
        <f t="shared" si="17"/>
        <v>1.149425287356322E-3</v>
      </c>
      <c r="G50" s="68">
        <f t="shared" si="18"/>
        <v>2.062365946213496E-3</v>
      </c>
      <c r="H50" s="69">
        <f t="shared" si="19"/>
        <v>1.149425287356322E-3</v>
      </c>
      <c r="I50" s="70">
        <f t="shared" si="20"/>
        <v>1.7241379310344827E-2</v>
      </c>
    </row>
    <row r="51" spans="1:9" x14ac:dyDescent="0.2">
      <c r="A51" s="63">
        <v>7</v>
      </c>
      <c r="B51" s="64" t="s">
        <v>92</v>
      </c>
      <c r="C51" s="65">
        <v>1.45</v>
      </c>
      <c r="D51" s="71">
        <v>22</v>
      </c>
      <c r="E51" s="66">
        <f t="shared" si="16"/>
        <v>31.9</v>
      </c>
      <c r="F51" s="67">
        <f t="shared" si="17"/>
        <v>0.33333333333333337</v>
      </c>
      <c r="G51" s="68">
        <f t="shared" si="18"/>
        <v>0.8771929824561403</v>
      </c>
      <c r="H51" s="69">
        <f t="shared" si="19"/>
        <v>0.33333333333333337</v>
      </c>
      <c r="I51" s="70">
        <f t="shared" si="20"/>
        <v>7.3333333333333339</v>
      </c>
    </row>
    <row r="52" spans="1:9" x14ac:dyDescent="0.2">
      <c r="A52" s="491" t="s">
        <v>83</v>
      </c>
      <c r="B52" s="492"/>
      <c r="C52" s="72"/>
      <c r="D52" s="72">
        <f>SUM(D45:D51)</f>
        <v>57</v>
      </c>
      <c r="E52" s="72">
        <f>SUM(E45:E51)</f>
        <v>36.366</v>
      </c>
      <c r="F52" s="67"/>
      <c r="G52" s="68"/>
      <c r="H52" s="75">
        <f>SUM(H45:H51)</f>
        <v>1.0908045977011496</v>
      </c>
      <c r="I52" s="76">
        <f>SUM(I45:I51)</f>
        <v>8.3600000000000012</v>
      </c>
    </row>
    <row r="53" spans="1:9" ht="28.5" customHeight="1" x14ac:dyDescent="0.2">
      <c r="A53" s="493" t="s">
        <v>84</v>
      </c>
      <c r="B53" s="492"/>
      <c r="C53" s="494">
        <f>E52/C54</f>
        <v>8.3600000000000012</v>
      </c>
      <c r="D53" s="494"/>
      <c r="E53" s="494"/>
      <c r="F53" s="494"/>
      <c r="G53" s="494"/>
      <c r="H53" s="494"/>
      <c r="I53" s="494"/>
    </row>
    <row r="54" spans="1:9" ht="22" x14ac:dyDescent="0.3">
      <c r="A54" s="495" t="s">
        <v>85</v>
      </c>
      <c r="B54" s="495"/>
      <c r="C54" s="87">
        <v>4.3499999999999996</v>
      </c>
      <c r="D54" s="496" t="s">
        <v>86</v>
      </c>
      <c r="E54" s="496"/>
      <c r="F54" s="496"/>
      <c r="G54" s="497">
        <f>C54/0.03</f>
        <v>145</v>
      </c>
      <c r="H54" s="497"/>
      <c r="I54" s="497"/>
    </row>
    <row r="55" spans="1:9" ht="15.75" customHeight="1" x14ac:dyDescent="0.2">
      <c r="A55" s="79"/>
      <c r="C55" s="80"/>
    </row>
    <row r="56" spans="1:9" ht="15.75" customHeight="1" x14ac:dyDescent="0.2">
      <c r="A56" s="79"/>
      <c r="C56" s="80"/>
    </row>
    <row r="57" spans="1:9" ht="15.75" customHeight="1" x14ac:dyDescent="0.2">
      <c r="A57" s="79"/>
      <c r="C57" s="80"/>
    </row>
    <row r="58" spans="1:9" ht="15.75" customHeight="1" x14ac:dyDescent="0.2">
      <c r="A58" s="79"/>
      <c r="C58" s="80"/>
    </row>
    <row r="59" spans="1:9" ht="15.75" customHeight="1" x14ac:dyDescent="0.2">
      <c r="A59" s="79"/>
      <c r="C59" s="80"/>
    </row>
    <row r="60" spans="1:9" ht="15.75" customHeight="1" x14ac:dyDescent="0.2">
      <c r="A60" s="79"/>
      <c r="C60" s="80"/>
    </row>
    <row r="61" spans="1:9" ht="15.75" customHeight="1" x14ac:dyDescent="0.2">
      <c r="A61" s="79"/>
      <c r="C61" s="80"/>
    </row>
    <row r="62" spans="1:9" ht="15.75" customHeight="1" x14ac:dyDescent="0.2">
      <c r="A62" s="79"/>
      <c r="C62" s="80"/>
    </row>
    <row r="63" spans="1:9" ht="15.75" customHeight="1" x14ac:dyDescent="0.2">
      <c r="A63" s="79"/>
      <c r="C63" s="80"/>
    </row>
    <row r="64" spans="1:9" ht="15.75" customHeight="1" x14ac:dyDescent="0.2">
      <c r="A64" s="79"/>
      <c r="C64" s="80"/>
    </row>
    <row r="65" spans="1:3" ht="15.75" customHeight="1" x14ac:dyDescent="0.2">
      <c r="A65" s="79"/>
      <c r="C65" s="80"/>
    </row>
    <row r="66" spans="1:3" ht="15.75" customHeight="1" x14ac:dyDescent="0.2">
      <c r="A66" s="79"/>
      <c r="C66" s="80"/>
    </row>
    <row r="67" spans="1:3" ht="15.75" customHeight="1" x14ac:dyDescent="0.2">
      <c r="A67" s="79"/>
      <c r="C67" s="80"/>
    </row>
    <row r="68" spans="1:3" ht="15.75" customHeight="1" x14ac:dyDescent="0.2">
      <c r="A68" s="79"/>
      <c r="C68" s="80"/>
    </row>
    <row r="69" spans="1:3" ht="15.75" customHeight="1" x14ac:dyDescent="0.2">
      <c r="A69" s="79"/>
      <c r="C69" s="80"/>
    </row>
    <row r="70" spans="1:3" ht="15.75" customHeight="1" x14ac:dyDescent="0.2">
      <c r="A70" s="79"/>
      <c r="C70" s="80"/>
    </row>
    <row r="71" spans="1:3" ht="15.75" customHeight="1" x14ac:dyDescent="0.2">
      <c r="A71" s="79"/>
      <c r="C71" s="80"/>
    </row>
    <row r="72" spans="1:3" ht="15.75" customHeight="1" x14ac:dyDescent="0.2">
      <c r="A72" s="79"/>
      <c r="C72" s="80"/>
    </row>
    <row r="73" spans="1:3" ht="15.75" customHeight="1" x14ac:dyDescent="0.2">
      <c r="A73" s="79"/>
      <c r="C73" s="80"/>
    </row>
    <row r="74" spans="1:3" ht="15.75" customHeight="1" x14ac:dyDescent="0.2">
      <c r="A74" s="79"/>
      <c r="C74" s="80"/>
    </row>
    <row r="75" spans="1:3" ht="15.75" customHeight="1" x14ac:dyDescent="0.2">
      <c r="A75" s="79"/>
      <c r="C75" s="80"/>
    </row>
    <row r="76" spans="1:3" ht="15.75" customHeight="1" x14ac:dyDescent="0.2">
      <c r="A76" s="79"/>
      <c r="C76" s="80"/>
    </row>
    <row r="77" spans="1:3" ht="15.75" customHeight="1" x14ac:dyDescent="0.2">
      <c r="A77" s="79"/>
      <c r="C77" s="80"/>
    </row>
    <row r="78" spans="1:3" ht="15.75" customHeight="1" x14ac:dyDescent="0.2">
      <c r="A78" s="79"/>
      <c r="C78" s="80"/>
    </row>
    <row r="79" spans="1:3" ht="15.75" customHeight="1" x14ac:dyDescent="0.2">
      <c r="A79" s="79"/>
      <c r="C79" s="80"/>
    </row>
    <row r="80" spans="1:3" ht="15.75" customHeight="1" x14ac:dyDescent="0.2">
      <c r="A80" s="79"/>
      <c r="C80" s="80"/>
    </row>
    <row r="81" spans="1:3" ht="15.75" customHeight="1" x14ac:dyDescent="0.2">
      <c r="A81" s="79"/>
      <c r="C81" s="80"/>
    </row>
    <row r="82" spans="1:3" ht="15.75" customHeight="1" x14ac:dyDescent="0.2">
      <c r="A82" s="79"/>
      <c r="C82" s="80"/>
    </row>
    <row r="83" spans="1:3" ht="15.75" customHeight="1" x14ac:dyDescent="0.2">
      <c r="A83" s="79"/>
      <c r="C83" s="80"/>
    </row>
    <row r="84" spans="1:3" ht="15.75" customHeight="1" x14ac:dyDescent="0.2">
      <c r="A84" s="79"/>
      <c r="C84" s="80"/>
    </row>
    <row r="85" spans="1:3" ht="15.75" customHeight="1" x14ac:dyDescent="0.2">
      <c r="A85" s="79"/>
      <c r="C85" s="80"/>
    </row>
    <row r="86" spans="1:3" ht="15.75" customHeight="1" x14ac:dyDescent="0.2">
      <c r="A86" s="79"/>
      <c r="C86" s="80"/>
    </row>
    <row r="87" spans="1:3" ht="15.75" customHeight="1" x14ac:dyDescent="0.2">
      <c r="A87" s="79"/>
      <c r="C87" s="80"/>
    </row>
    <row r="88" spans="1:3" ht="15.75" customHeight="1" x14ac:dyDescent="0.2">
      <c r="A88" s="79"/>
      <c r="C88" s="80"/>
    </row>
    <row r="89" spans="1:3" ht="15.75" customHeight="1" x14ac:dyDescent="0.2">
      <c r="A89" s="79"/>
      <c r="C89" s="80"/>
    </row>
    <row r="90" spans="1:3" ht="15.75" customHeight="1" x14ac:dyDescent="0.2">
      <c r="A90" s="79"/>
      <c r="C90" s="80"/>
    </row>
    <row r="91" spans="1:3" ht="15.75" customHeight="1" x14ac:dyDescent="0.2">
      <c r="A91" s="79"/>
      <c r="C91" s="80"/>
    </row>
    <row r="92" spans="1:3" ht="15.75" customHeight="1" x14ac:dyDescent="0.2">
      <c r="A92" s="79"/>
      <c r="C92" s="80"/>
    </row>
    <row r="93" spans="1:3" ht="15.75" customHeight="1" x14ac:dyDescent="0.2">
      <c r="A93" s="79"/>
      <c r="C93" s="80"/>
    </row>
    <row r="94" spans="1:3" ht="15.75" customHeight="1" x14ac:dyDescent="0.2">
      <c r="A94" s="79"/>
      <c r="C94" s="80"/>
    </row>
    <row r="95" spans="1:3" ht="15.75" customHeight="1" x14ac:dyDescent="0.2">
      <c r="A95" s="79"/>
      <c r="C95" s="80"/>
    </row>
    <row r="96" spans="1:3" ht="15.75" customHeight="1" x14ac:dyDescent="0.2">
      <c r="A96" s="79"/>
      <c r="C96" s="80"/>
    </row>
    <row r="97" spans="1:3" ht="15.75" customHeight="1" x14ac:dyDescent="0.2">
      <c r="A97" s="79"/>
      <c r="C97" s="80"/>
    </row>
    <row r="98" spans="1:3" ht="15.75" customHeight="1" x14ac:dyDescent="0.2">
      <c r="A98" s="79"/>
      <c r="C98" s="80"/>
    </row>
    <row r="99" spans="1:3" ht="15.75" customHeight="1" x14ac:dyDescent="0.2">
      <c r="A99" s="79"/>
      <c r="C99" s="80"/>
    </row>
    <row r="100" spans="1:3" ht="15.75" customHeight="1" x14ac:dyDescent="0.2">
      <c r="A100" s="79"/>
      <c r="C100" s="80"/>
    </row>
    <row r="101" spans="1:3" ht="15.75" customHeight="1" x14ac:dyDescent="0.2">
      <c r="A101" s="79"/>
      <c r="C101" s="80"/>
    </row>
    <row r="102" spans="1:3" ht="15.75" customHeight="1" x14ac:dyDescent="0.2">
      <c r="A102" s="79"/>
      <c r="C102" s="80"/>
    </row>
    <row r="103" spans="1:3" ht="15.75" customHeight="1" x14ac:dyDescent="0.2">
      <c r="A103" s="79"/>
      <c r="C103" s="80"/>
    </row>
    <row r="104" spans="1:3" ht="15.75" customHeight="1" x14ac:dyDescent="0.2">
      <c r="A104" s="79"/>
      <c r="C104" s="80"/>
    </row>
    <row r="105" spans="1:3" ht="15.75" customHeight="1" x14ac:dyDescent="0.2">
      <c r="A105" s="79"/>
      <c r="C105" s="80"/>
    </row>
    <row r="106" spans="1:3" ht="15.75" customHeight="1" x14ac:dyDescent="0.2">
      <c r="A106" s="79"/>
      <c r="C106" s="80"/>
    </row>
    <row r="107" spans="1:3" ht="15.75" customHeight="1" x14ac:dyDescent="0.2">
      <c r="A107" s="79"/>
      <c r="C107" s="80"/>
    </row>
    <row r="108" spans="1:3" ht="15.75" customHeight="1" x14ac:dyDescent="0.2">
      <c r="A108" s="79"/>
      <c r="C108" s="80"/>
    </row>
    <row r="109" spans="1:3" ht="15.75" customHeight="1" x14ac:dyDescent="0.2">
      <c r="A109" s="79"/>
      <c r="C109" s="80"/>
    </row>
    <row r="110" spans="1:3" ht="15.75" customHeight="1" x14ac:dyDescent="0.2">
      <c r="A110" s="79"/>
      <c r="C110" s="80"/>
    </row>
    <row r="111" spans="1:3" ht="15.75" customHeight="1" x14ac:dyDescent="0.2">
      <c r="A111" s="79"/>
      <c r="C111" s="80"/>
    </row>
    <row r="112" spans="1:3" ht="15.75" customHeight="1" x14ac:dyDescent="0.2">
      <c r="A112" s="79"/>
      <c r="C112" s="80"/>
    </row>
    <row r="113" spans="1:3" ht="15.75" customHeight="1" x14ac:dyDescent="0.2">
      <c r="A113" s="79"/>
      <c r="C113" s="80"/>
    </row>
    <row r="114" spans="1:3" ht="15.75" customHeight="1" x14ac:dyDescent="0.2">
      <c r="A114" s="79"/>
      <c r="C114" s="80"/>
    </row>
    <row r="115" spans="1:3" ht="15.75" customHeight="1" x14ac:dyDescent="0.2">
      <c r="A115" s="79"/>
      <c r="C115" s="80"/>
    </row>
    <row r="116" spans="1:3" ht="15.75" customHeight="1" x14ac:dyDescent="0.2">
      <c r="A116" s="79"/>
      <c r="C116" s="80"/>
    </row>
    <row r="117" spans="1:3" ht="15.75" customHeight="1" x14ac:dyDescent="0.2">
      <c r="A117" s="79"/>
      <c r="C117" s="80"/>
    </row>
    <row r="118" spans="1:3" ht="15.75" customHeight="1" x14ac:dyDescent="0.2">
      <c r="A118" s="79"/>
      <c r="C118" s="80"/>
    </row>
    <row r="119" spans="1:3" ht="15.75" customHeight="1" x14ac:dyDescent="0.2">
      <c r="A119" s="79"/>
      <c r="C119" s="80"/>
    </row>
    <row r="120" spans="1:3" ht="15.75" customHeight="1" x14ac:dyDescent="0.2">
      <c r="A120" s="79"/>
      <c r="C120" s="80"/>
    </row>
    <row r="121" spans="1:3" ht="15.75" customHeight="1" x14ac:dyDescent="0.2">
      <c r="A121" s="79"/>
      <c r="C121" s="80"/>
    </row>
    <row r="122" spans="1:3" ht="15.75" customHeight="1" x14ac:dyDescent="0.2">
      <c r="A122" s="79"/>
      <c r="C122" s="80"/>
    </row>
    <row r="123" spans="1:3" ht="15.75" customHeight="1" x14ac:dyDescent="0.2">
      <c r="A123" s="79"/>
      <c r="C123" s="80"/>
    </row>
    <row r="124" spans="1:3" ht="15.75" customHeight="1" x14ac:dyDescent="0.2">
      <c r="A124" s="79"/>
      <c r="C124" s="80"/>
    </row>
    <row r="125" spans="1:3" ht="15.75" customHeight="1" x14ac:dyDescent="0.2">
      <c r="A125" s="79"/>
      <c r="C125" s="80"/>
    </row>
    <row r="126" spans="1:3" ht="15.75" customHeight="1" x14ac:dyDescent="0.2">
      <c r="A126" s="79"/>
      <c r="C126" s="80"/>
    </row>
    <row r="127" spans="1:3" ht="15.75" customHeight="1" x14ac:dyDescent="0.2">
      <c r="A127" s="79"/>
      <c r="C127" s="80"/>
    </row>
    <row r="128" spans="1:3" ht="15.75" customHeight="1" x14ac:dyDescent="0.2">
      <c r="A128" s="79"/>
      <c r="C128" s="80"/>
    </row>
    <row r="129" spans="1:3" ht="15.75" customHeight="1" x14ac:dyDescent="0.2">
      <c r="A129" s="79"/>
      <c r="C129" s="80"/>
    </row>
    <row r="130" spans="1:3" ht="15.75" customHeight="1" x14ac:dyDescent="0.2">
      <c r="A130" s="79"/>
      <c r="C130" s="80"/>
    </row>
    <row r="131" spans="1:3" ht="15.75" customHeight="1" x14ac:dyDescent="0.2">
      <c r="A131" s="79"/>
      <c r="C131" s="80"/>
    </row>
    <row r="132" spans="1:3" ht="15.75" customHeight="1" x14ac:dyDescent="0.2">
      <c r="A132" s="79"/>
      <c r="C132" s="80"/>
    </row>
    <row r="133" spans="1:3" ht="15.75" customHeight="1" x14ac:dyDescent="0.2">
      <c r="A133" s="79"/>
      <c r="C133" s="80"/>
    </row>
    <row r="134" spans="1:3" ht="15.75" customHeight="1" x14ac:dyDescent="0.2">
      <c r="A134" s="79"/>
      <c r="C134" s="80"/>
    </row>
    <row r="135" spans="1:3" ht="15.75" customHeight="1" x14ac:dyDescent="0.2">
      <c r="A135" s="79"/>
      <c r="C135" s="80"/>
    </row>
    <row r="136" spans="1:3" ht="15.75" customHeight="1" x14ac:dyDescent="0.2">
      <c r="A136" s="79"/>
      <c r="C136" s="80"/>
    </row>
    <row r="137" spans="1:3" ht="15.75" customHeight="1" x14ac:dyDescent="0.2">
      <c r="A137" s="79"/>
      <c r="C137" s="80"/>
    </row>
    <row r="138" spans="1:3" ht="15.75" customHeight="1" x14ac:dyDescent="0.2">
      <c r="A138" s="79"/>
      <c r="C138" s="80"/>
    </row>
    <row r="139" spans="1:3" ht="15.75" customHeight="1" x14ac:dyDescent="0.2">
      <c r="A139" s="79"/>
      <c r="C139" s="80"/>
    </row>
    <row r="140" spans="1:3" ht="15.75" customHeight="1" x14ac:dyDescent="0.2">
      <c r="A140" s="79"/>
      <c r="C140" s="80"/>
    </row>
    <row r="141" spans="1:3" ht="15.75" customHeight="1" x14ac:dyDescent="0.2">
      <c r="A141" s="79"/>
      <c r="C141" s="80"/>
    </row>
    <row r="142" spans="1:3" ht="15.75" customHeight="1" x14ac:dyDescent="0.2">
      <c r="A142" s="79"/>
      <c r="C142" s="80"/>
    </row>
    <row r="143" spans="1:3" ht="15.75" customHeight="1" x14ac:dyDescent="0.2">
      <c r="A143" s="79"/>
      <c r="C143" s="80"/>
    </row>
    <row r="144" spans="1:3" ht="15.75" customHeight="1" x14ac:dyDescent="0.2">
      <c r="A144" s="79"/>
      <c r="C144" s="80"/>
    </row>
    <row r="145" spans="1:3" ht="15.75" customHeight="1" x14ac:dyDescent="0.2">
      <c r="A145" s="79"/>
      <c r="C145" s="80"/>
    </row>
    <row r="146" spans="1:3" ht="15.75" customHeight="1" x14ac:dyDescent="0.2">
      <c r="A146" s="79"/>
      <c r="C146" s="80"/>
    </row>
    <row r="147" spans="1:3" ht="15.75" customHeight="1" x14ac:dyDescent="0.2">
      <c r="A147" s="79"/>
      <c r="C147" s="80"/>
    </row>
    <row r="148" spans="1:3" ht="15.75" customHeight="1" x14ac:dyDescent="0.2">
      <c r="A148" s="79"/>
      <c r="C148" s="80"/>
    </row>
    <row r="149" spans="1:3" ht="15.75" customHeight="1" x14ac:dyDescent="0.2">
      <c r="A149" s="79"/>
      <c r="C149" s="80"/>
    </row>
    <row r="150" spans="1:3" ht="15.75" customHeight="1" x14ac:dyDescent="0.2">
      <c r="A150" s="79"/>
      <c r="C150" s="80"/>
    </row>
    <row r="151" spans="1:3" ht="15.75" customHeight="1" x14ac:dyDescent="0.2">
      <c r="A151" s="79"/>
      <c r="C151" s="80"/>
    </row>
    <row r="152" spans="1:3" ht="15.75" customHeight="1" x14ac:dyDescent="0.2">
      <c r="A152" s="79"/>
      <c r="C152" s="80"/>
    </row>
    <row r="153" spans="1:3" ht="15.75" customHeight="1" x14ac:dyDescent="0.2">
      <c r="A153" s="79"/>
      <c r="C153" s="80"/>
    </row>
    <row r="154" spans="1:3" ht="15.75" customHeight="1" x14ac:dyDescent="0.2">
      <c r="A154" s="79"/>
      <c r="C154" s="80"/>
    </row>
    <row r="155" spans="1:3" ht="15.75" customHeight="1" x14ac:dyDescent="0.2">
      <c r="A155" s="79"/>
      <c r="C155" s="80"/>
    </row>
    <row r="156" spans="1:3" ht="15.75" customHeight="1" x14ac:dyDescent="0.2">
      <c r="A156" s="79"/>
      <c r="C156" s="80"/>
    </row>
    <row r="157" spans="1:3" ht="15.75" customHeight="1" x14ac:dyDescent="0.2">
      <c r="A157" s="79"/>
      <c r="C157" s="80"/>
    </row>
    <row r="158" spans="1:3" ht="15.75" customHeight="1" x14ac:dyDescent="0.2">
      <c r="A158" s="79"/>
      <c r="C158" s="80"/>
    </row>
    <row r="159" spans="1:3" ht="15.75" customHeight="1" x14ac:dyDescent="0.2">
      <c r="A159" s="79"/>
      <c r="C159" s="80"/>
    </row>
    <row r="160" spans="1:3" ht="15.75" customHeight="1" x14ac:dyDescent="0.2">
      <c r="A160" s="79"/>
      <c r="C160" s="80"/>
    </row>
    <row r="161" spans="1:3" ht="15.75" customHeight="1" x14ac:dyDescent="0.2">
      <c r="A161" s="79"/>
      <c r="C161" s="80"/>
    </row>
    <row r="162" spans="1:3" ht="15.75" customHeight="1" x14ac:dyDescent="0.2">
      <c r="A162" s="79"/>
      <c r="C162" s="80"/>
    </row>
    <row r="163" spans="1:3" ht="15.75" customHeight="1" x14ac:dyDescent="0.2">
      <c r="A163" s="79"/>
      <c r="C163" s="80"/>
    </row>
    <row r="164" spans="1:3" ht="15.75" customHeight="1" x14ac:dyDescent="0.2">
      <c r="A164" s="79"/>
      <c r="C164" s="80"/>
    </row>
    <row r="165" spans="1:3" ht="15.75" customHeight="1" x14ac:dyDescent="0.2">
      <c r="A165" s="79"/>
      <c r="C165" s="80"/>
    </row>
    <row r="166" spans="1:3" ht="15.75" customHeight="1" x14ac:dyDescent="0.2">
      <c r="A166" s="79"/>
      <c r="C166" s="80"/>
    </row>
    <row r="167" spans="1:3" ht="15.75" customHeight="1" x14ac:dyDescent="0.2">
      <c r="A167" s="79"/>
      <c r="C167" s="80"/>
    </row>
    <row r="168" spans="1:3" ht="15.75" customHeight="1" x14ac:dyDescent="0.2">
      <c r="A168" s="79"/>
      <c r="C168" s="80"/>
    </row>
    <row r="169" spans="1:3" ht="15.75" customHeight="1" x14ac:dyDescent="0.2">
      <c r="A169" s="79"/>
      <c r="C169" s="80"/>
    </row>
    <row r="170" spans="1:3" ht="15.75" customHeight="1" x14ac:dyDescent="0.2">
      <c r="A170" s="79"/>
      <c r="C170" s="80"/>
    </row>
    <row r="171" spans="1:3" ht="15.75" customHeight="1" x14ac:dyDescent="0.2">
      <c r="A171" s="79"/>
      <c r="C171" s="80"/>
    </row>
    <row r="172" spans="1:3" ht="15.75" customHeight="1" x14ac:dyDescent="0.2">
      <c r="A172" s="79"/>
      <c r="C172" s="80"/>
    </row>
    <row r="173" spans="1:3" ht="15.75" customHeight="1" x14ac:dyDescent="0.2">
      <c r="A173" s="79"/>
      <c r="C173" s="80"/>
    </row>
    <row r="174" spans="1:3" ht="15.75" customHeight="1" x14ac:dyDescent="0.2">
      <c r="A174" s="79"/>
      <c r="C174" s="80"/>
    </row>
    <row r="175" spans="1:3" ht="15.75" customHeight="1" x14ac:dyDescent="0.2">
      <c r="A175" s="79"/>
      <c r="C175" s="80"/>
    </row>
    <row r="176" spans="1:3" ht="15.75" customHeight="1" x14ac:dyDescent="0.2">
      <c r="A176" s="79"/>
      <c r="C176" s="80"/>
    </row>
    <row r="177" spans="1:3" ht="15.75" customHeight="1" x14ac:dyDescent="0.2">
      <c r="A177" s="79"/>
      <c r="C177" s="80"/>
    </row>
    <row r="178" spans="1:3" ht="15.75" customHeight="1" x14ac:dyDescent="0.2">
      <c r="A178" s="79"/>
      <c r="C178" s="80"/>
    </row>
    <row r="179" spans="1:3" ht="15.75" customHeight="1" x14ac:dyDescent="0.2">
      <c r="A179" s="79"/>
      <c r="C179" s="80"/>
    </row>
    <row r="180" spans="1:3" ht="15.75" customHeight="1" x14ac:dyDescent="0.2">
      <c r="A180" s="79"/>
      <c r="C180" s="80"/>
    </row>
    <row r="181" spans="1:3" ht="15.75" customHeight="1" x14ac:dyDescent="0.2">
      <c r="A181" s="79"/>
      <c r="C181" s="80"/>
    </row>
    <row r="182" spans="1:3" ht="15.75" customHeight="1" x14ac:dyDescent="0.2">
      <c r="A182" s="79"/>
      <c r="C182" s="80"/>
    </row>
    <row r="183" spans="1:3" ht="15.75" customHeight="1" x14ac:dyDescent="0.2">
      <c r="A183" s="79"/>
      <c r="C183" s="80"/>
    </row>
    <row r="184" spans="1:3" ht="15.75" customHeight="1" x14ac:dyDescent="0.2">
      <c r="A184" s="79"/>
      <c r="C184" s="80"/>
    </row>
    <row r="185" spans="1:3" ht="15.75" customHeight="1" x14ac:dyDescent="0.2">
      <c r="A185" s="79"/>
      <c r="C185" s="80"/>
    </row>
    <row r="186" spans="1:3" ht="15.75" customHeight="1" x14ac:dyDescent="0.2">
      <c r="A186" s="79"/>
      <c r="C186" s="80"/>
    </row>
    <row r="187" spans="1:3" ht="15.75" customHeight="1" x14ac:dyDescent="0.2">
      <c r="A187" s="79"/>
      <c r="C187" s="80"/>
    </row>
    <row r="188" spans="1:3" ht="15.75" customHeight="1" x14ac:dyDescent="0.2">
      <c r="A188" s="79"/>
      <c r="C188" s="80"/>
    </row>
    <row r="189" spans="1:3" ht="15.75" customHeight="1" x14ac:dyDescent="0.2">
      <c r="A189" s="79"/>
      <c r="C189" s="80"/>
    </row>
    <row r="190" spans="1:3" ht="15.75" customHeight="1" x14ac:dyDescent="0.2">
      <c r="A190" s="79"/>
      <c r="C190" s="80"/>
    </row>
    <row r="191" spans="1:3" ht="15.75" customHeight="1" x14ac:dyDescent="0.2">
      <c r="A191" s="79"/>
      <c r="C191" s="80"/>
    </row>
    <row r="192" spans="1:3" ht="15.75" customHeight="1" x14ac:dyDescent="0.2">
      <c r="A192" s="79"/>
      <c r="C192" s="80"/>
    </row>
    <row r="193" spans="1:3" ht="15.75" customHeight="1" x14ac:dyDescent="0.2">
      <c r="A193" s="79"/>
      <c r="C193" s="80"/>
    </row>
    <row r="194" spans="1:3" ht="15.75" customHeight="1" x14ac:dyDescent="0.2">
      <c r="A194" s="79"/>
      <c r="C194" s="80"/>
    </row>
    <row r="195" spans="1:3" ht="15.75" customHeight="1" x14ac:dyDescent="0.2">
      <c r="A195" s="79"/>
      <c r="C195" s="80"/>
    </row>
    <row r="196" spans="1:3" ht="15.75" customHeight="1" x14ac:dyDescent="0.2">
      <c r="A196" s="79"/>
      <c r="C196" s="80"/>
    </row>
    <row r="197" spans="1:3" ht="15.75" customHeight="1" x14ac:dyDescent="0.2">
      <c r="A197" s="79"/>
      <c r="C197" s="80"/>
    </row>
    <row r="198" spans="1:3" ht="15.75" customHeight="1" x14ac:dyDescent="0.2">
      <c r="A198" s="79"/>
      <c r="C198" s="80"/>
    </row>
    <row r="199" spans="1:3" ht="15.75" customHeight="1" x14ac:dyDescent="0.2">
      <c r="A199" s="79"/>
      <c r="C199" s="80"/>
    </row>
    <row r="200" spans="1:3" ht="15.75" customHeight="1" x14ac:dyDescent="0.2">
      <c r="A200" s="79"/>
      <c r="C200" s="80"/>
    </row>
    <row r="201" spans="1:3" ht="15.75" customHeight="1" x14ac:dyDescent="0.2">
      <c r="A201" s="79"/>
      <c r="C201" s="80"/>
    </row>
    <row r="202" spans="1:3" ht="15.75" customHeight="1" x14ac:dyDescent="0.2">
      <c r="A202" s="79"/>
      <c r="C202" s="80"/>
    </row>
    <row r="203" spans="1:3" ht="15.75" customHeight="1" x14ac:dyDescent="0.2">
      <c r="A203" s="79"/>
      <c r="C203" s="80"/>
    </row>
    <row r="204" spans="1:3" ht="15.75" customHeight="1" x14ac:dyDescent="0.2">
      <c r="A204" s="79"/>
      <c r="C204" s="80"/>
    </row>
    <row r="205" spans="1:3" ht="15.75" customHeight="1" x14ac:dyDescent="0.2">
      <c r="A205" s="79"/>
      <c r="C205" s="80"/>
    </row>
    <row r="206" spans="1:3" ht="15.75" customHeight="1" x14ac:dyDescent="0.2">
      <c r="A206" s="79"/>
      <c r="C206" s="80"/>
    </row>
    <row r="207" spans="1:3" ht="15.75" customHeight="1" x14ac:dyDescent="0.2">
      <c r="A207" s="79"/>
      <c r="C207" s="80"/>
    </row>
    <row r="208" spans="1:3" ht="15.75" customHeight="1" x14ac:dyDescent="0.2">
      <c r="A208" s="79"/>
      <c r="C208" s="80"/>
    </row>
    <row r="209" spans="1:3" ht="15.75" customHeight="1" x14ac:dyDescent="0.2">
      <c r="A209" s="79"/>
      <c r="C209" s="80"/>
    </row>
    <row r="210" spans="1:3" ht="15.75" customHeight="1" x14ac:dyDescent="0.2">
      <c r="A210" s="79"/>
      <c r="C210" s="80"/>
    </row>
    <row r="211" spans="1:3" ht="15.75" customHeight="1" x14ac:dyDescent="0.2">
      <c r="A211" s="79"/>
      <c r="C211" s="80"/>
    </row>
    <row r="212" spans="1:3" ht="15.75" customHeight="1" x14ac:dyDescent="0.2">
      <c r="A212" s="79"/>
      <c r="C212" s="80"/>
    </row>
    <row r="213" spans="1:3" ht="15.75" customHeight="1" x14ac:dyDescent="0.2">
      <c r="A213" s="79"/>
      <c r="C213" s="80"/>
    </row>
    <row r="214" spans="1:3" ht="15.75" customHeight="1" x14ac:dyDescent="0.2">
      <c r="A214" s="79"/>
      <c r="C214" s="80"/>
    </row>
    <row r="215" spans="1:3" ht="15.75" customHeight="1" x14ac:dyDescent="0.2">
      <c r="A215" s="79"/>
      <c r="C215" s="80"/>
    </row>
    <row r="216" spans="1:3" ht="15.75" customHeight="1" x14ac:dyDescent="0.2">
      <c r="A216" s="79"/>
      <c r="C216" s="80"/>
    </row>
    <row r="217" spans="1:3" ht="15.75" customHeight="1" x14ac:dyDescent="0.2">
      <c r="A217" s="79"/>
      <c r="C217" s="80"/>
    </row>
    <row r="218" spans="1:3" ht="15.75" customHeight="1" x14ac:dyDescent="0.2">
      <c r="A218" s="79"/>
      <c r="C218" s="80"/>
    </row>
    <row r="219" spans="1:3" ht="15.75" customHeight="1" x14ac:dyDescent="0.2">
      <c r="A219" s="79"/>
      <c r="C219" s="80"/>
    </row>
    <row r="220" spans="1:3" ht="15.75" customHeight="1" x14ac:dyDescent="0.2">
      <c r="A220" s="79"/>
      <c r="C220" s="80"/>
    </row>
    <row r="221" spans="1:3" ht="15.75" customHeight="1" x14ac:dyDescent="0.2">
      <c r="A221" s="79"/>
      <c r="C221" s="80"/>
    </row>
    <row r="222" spans="1:3" ht="15.75" customHeight="1" x14ac:dyDescent="0.2">
      <c r="A222" s="79"/>
      <c r="C222" s="80"/>
    </row>
    <row r="223" spans="1:3" ht="15.75" customHeight="1" x14ac:dyDescent="0.2">
      <c r="A223" s="79"/>
      <c r="C223" s="80"/>
    </row>
    <row r="224" spans="1:3" ht="15.75" customHeight="1" x14ac:dyDescent="0.2">
      <c r="A224" s="79"/>
      <c r="C224" s="80"/>
    </row>
    <row r="225" spans="1:3" ht="15.75" customHeight="1" x14ac:dyDescent="0.2">
      <c r="A225" s="79"/>
      <c r="C225" s="80"/>
    </row>
    <row r="226" spans="1:3" ht="15.75" customHeight="1" x14ac:dyDescent="0.2">
      <c r="A226" s="79"/>
      <c r="C226" s="80"/>
    </row>
    <row r="227" spans="1:3" ht="15.75" customHeight="1" x14ac:dyDescent="0.2">
      <c r="A227" s="79"/>
      <c r="C227" s="80"/>
    </row>
    <row r="228" spans="1:3" ht="15.75" customHeight="1" x14ac:dyDescent="0.2">
      <c r="A228" s="79"/>
      <c r="C228" s="80"/>
    </row>
    <row r="229" spans="1:3" ht="15.75" customHeight="1" x14ac:dyDescent="0.2">
      <c r="A229" s="79"/>
      <c r="C229" s="80"/>
    </row>
    <row r="230" spans="1:3" ht="15.75" customHeight="1" x14ac:dyDescent="0.2">
      <c r="A230" s="79"/>
      <c r="C230" s="80"/>
    </row>
    <row r="231" spans="1:3" ht="15.75" customHeight="1" x14ac:dyDescent="0.2">
      <c r="A231" s="79"/>
      <c r="C231" s="80"/>
    </row>
    <row r="232" spans="1:3" ht="15.75" customHeight="1" x14ac:dyDescent="0.2">
      <c r="A232" s="79"/>
      <c r="C232" s="80"/>
    </row>
    <row r="233" spans="1:3" ht="15.75" customHeight="1" x14ac:dyDescent="0.2">
      <c r="A233" s="79"/>
      <c r="C233" s="80"/>
    </row>
    <row r="234" spans="1:3" ht="15.75" customHeight="1" x14ac:dyDescent="0.2">
      <c r="A234" s="79"/>
      <c r="C234" s="80"/>
    </row>
    <row r="235" spans="1:3" ht="15.75" customHeight="1" x14ac:dyDescent="0.2">
      <c r="A235" s="79"/>
      <c r="C235" s="80"/>
    </row>
    <row r="236" spans="1:3" ht="15.75" customHeight="1" x14ac:dyDescent="0.2">
      <c r="A236" s="79"/>
      <c r="C236" s="80"/>
    </row>
    <row r="237" spans="1:3" ht="15.75" customHeight="1" x14ac:dyDescent="0.2">
      <c r="A237" s="79"/>
      <c r="C237" s="80"/>
    </row>
    <row r="238" spans="1:3" ht="15.75" customHeight="1" x14ac:dyDescent="0.2">
      <c r="A238" s="79"/>
      <c r="C238" s="80"/>
    </row>
    <row r="239" spans="1:3" ht="15.75" customHeight="1" x14ac:dyDescent="0.2">
      <c r="A239" s="79"/>
      <c r="C239" s="80"/>
    </row>
    <row r="240" spans="1:3" ht="15.75" customHeight="1" x14ac:dyDescent="0.2">
      <c r="A240" s="79"/>
      <c r="C240" s="80"/>
    </row>
    <row r="241" spans="1:3" ht="15.75" customHeight="1" x14ac:dyDescent="0.2">
      <c r="A241" s="79"/>
      <c r="C241" s="80"/>
    </row>
    <row r="242" spans="1:3" ht="15.75" customHeight="1" x14ac:dyDescent="0.2">
      <c r="A242" s="79"/>
      <c r="C242" s="80"/>
    </row>
    <row r="243" spans="1:3" ht="15.75" customHeight="1" x14ac:dyDescent="0.2">
      <c r="A243" s="79"/>
      <c r="C243" s="80"/>
    </row>
    <row r="244" spans="1:3" ht="15.75" customHeight="1" x14ac:dyDescent="0.2">
      <c r="A244" s="79"/>
      <c r="C244" s="80"/>
    </row>
    <row r="245" spans="1:3" ht="15.75" customHeight="1" x14ac:dyDescent="0.2">
      <c r="A245" s="79"/>
      <c r="C245" s="80"/>
    </row>
    <row r="246" spans="1:3" ht="15.75" customHeight="1" x14ac:dyDescent="0.2">
      <c r="A246" s="79"/>
      <c r="C246" s="80"/>
    </row>
    <row r="247" spans="1:3" ht="15.75" customHeight="1" x14ac:dyDescent="0.2">
      <c r="A247" s="79"/>
      <c r="C247" s="80"/>
    </row>
    <row r="248" spans="1:3" ht="15.75" customHeight="1" x14ac:dyDescent="0.2">
      <c r="A248" s="79"/>
      <c r="C248" s="80"/>
    </row>
    <row r="249" spans="1:3" ht="15.75" customHeight="1" x14ac:dyDescent="0.2">
      <c r="A249" s="79"/>
      <c r="C249" s="80"/>
    </row>
    <row r="250" spans="1:3" ht="15.75" customHeight="1" x14ac:dyDescent="0.2">
      <c r="A250" s="79"/>
      <c r="C250" s="80"/>
    </row>
    <row r="251" spans="1:3" ht="15.75" customHeight="1" x14ac:dyDescent="0.2">
      <c r="A251" s="79"/>
      <c r="C251" s="80"/>
    </row>
    <row r="252" spans="1:3" ht="15.75" customHeight="1" x14ac:dyDescent="0.2">
      <c r="A252" s="79"/>
      <c r="C252" s="80"/>
    </row>
    <row r="253" spans="1:3" ht="15.75" customHeight="1" x14ac:dyDescent="0.2">
      <c r="A253" s="79"/>
      <c r="C253" s="80"/>
    </row>
    <row r="254" spans="1:3" ht="15.75" customHeight="1" x14ac:dyDescent="0.2">
      <c r="A254" s="79"/>
      <c r="C254" s="80"/>
    </row>
    <row r="255" spans="1:3" ht="15.75" customHeight="1" x14ac:dyDescent="0.2">
      <c r="A255" s="79"/>
      <c r="C255" s="80"/>
    </row>
    <row r="256" spans="1:3" ht="15.75" customHeight="1" x14ac:dyDescent="0.2">
      <c r="A256" s="79"/>
      <c r="C256" s="80"/>
    </row>
    <row r="257" spans="1:3" ht="15.75" customHeight="1" x14ac:dyDescent="0.2">
      <c r="A257" s="79"/>
      <c r="C257" s="80"/>
    </row>
    <row r="258" spans="1:3" ht="15.75" customHeight="1" x14ac:dyDescent="0.2">
      <c r="A258" s="79"/>
      <c r="C258" s="80"/>
    </row>
    <row r="259" spans="1:3" ht="15.75" customHeight="1" x14ac:dyDescent="0.2">
      <c r="A259" s="79"/>
      <c r="C259" s="80"/>
    </row>
    <row r="260" spans="1:3" ht="15.75" customHeight="1" x14ac:dyDescent="0.2">
      <c r="A260" s="79"/>
      <c r="C260" s="80"/>
    </row>
    <row r="261" spans="1:3" ht="15.75" customHeight="1" x14ac:dyDescent="0.2">
      <c r="A261" s="79"/>
      <c r="C261" s="80"/>
    </row>
    <row r="262" spans="1:3" ht="15.75" customHeight="1" x14ac:dyDescent="0.2">
      <c r="A262" s="79"/>
      <c r="C262" s="80"/>
    </row>
    <row r="263" spans="1:3" ht="15.75" customHeight="1" x14ac:dyDescent="0.2">
      <c r="A263" s="79"/>
      <c r="C263" s="80"/>
    </row>
    <row r="264" spans="1:3" ht="15.75" customHeight="1" x14ac:dyDescent="0.2">
      <c r="A264" s="79"/>
      <c r="C264" s="80"/>
    </row>
    <row r="265" spans="1:3" ht="15.75" customHeight="1" x14ac:dyDescent="0.2">
      <c r="A265" s="79"/>
      <c r="C265" s="80"/>
    </row>
    <row r="266" spans="1:3" ht="15.75" customHeight="1" x14ac:dyDescent="0.2">
      <c r="A266" s="79"/>
      <c r="C266" s="80"/>
    </row>
    <row r="267" spans="1:3" ht="15.75" customHeight="1" x14ac:dyDescent="0.2">
      <c r="A267" s="79"/>
      <c r="C267" s="80"/>
    </row>
    <row r="268" spans="1:3" ht="15.75" customHeight="1" x14ac:dyDescent="0.2">
      <c r="A268" s="79"/>
      <c r="C268" s="80"/>
    </row>
    <row r="269" spans="1:3" ht="15.75" customHeight="1" x14ac:dyDescent="0.2">
      <c r="A269" s="79"/>
      <c r="C269" s="80"/>
    </row>
    <row r="270" spans="1:3" ht="15.75" customHeight="1" x14ac:dyDescent="0.2">
      <c r="A270" s="79"/>
      <c r="C270" s="80"/>
    </row>
    <row r="271" spans="1:3" ht="15.75" customHeight="1" x14ac:dyDescent="0.2">
      <c r="A271" s="79"/>
      <c r="C271" s="80"/>
    </row>
    <row r="272" spans="1:3" ht="15.75" customHeight="1" x14ac:dyDescent="0.2">
      <c r="A272" s="79"/>
      <c r="C272" s="80"/>
    </row>
    <row r="273" spans="1:3" ht="15.75" customHeight="1" x14ac:dyDescent="0.2">
      <c r="A273" s="79"/>
      <c r="C273" s="80"/>
    </row>
    <row r="274" spans="1:3" ht="15.75" customHeight="1" x14ac:dyDescent="0.2">
      <c r="A274" s="79"/>
      <c r="C274" s="80"/>
    </row>
    <row r="275" spans="1:3" ht="15.75" customHeight="1" x14ac:dyDescent="0.2">
      <c r="A275" s="79"/>
      <c r="C275" s="80"/>
    </row>
    <row r="276" spans="1:3" ht="15.75" customHeight="1" x14ac:dyDescent="0.2">
      <c r="A276" s="79"/>
      <c r="C276" s="80"/>
    </row>
    <row r="277" spans="1:3" ht="15.75" customHeight="1" x14ac:dyDescent="0.2">
      <c r="A277" s="79"/>
      <c r="C277" s="80"/>
    </row>
    <row r="278" spans="1:3" ht="15.75" customHeight="1" x14ac:dyDescent="0.2">
      <c r="A278" s="79"/>
      <c r="C278" s="80"/>
    </row>
    <row r="279" spans="1:3" ht="15.75" customHeight="1" x14ac:dyDescent="0.2">
      <c r="A279" s="79"/>
      <c r="C279" s="80"/>
    </row>
    <row r="280" spans="1:3" ht="15.75" customHeight="1" x14ac:dyDescent="0.2">
      <c r="A280" s="79"/>
      <c r="C280" s="80"/>
    </row>
    <row r="281" spans="1:3" ht="15.75" customHeight="1" x14ac:dyDescent="0.2">
      <c r="A281" s="79"/>
      <c r="C281" s="80"/>
    </row>
    <row r="282" spans="1:3" ht="15.75" customHeight="1" x14ac:dyDescent="0.2">
      <c r="A282" s="79"/>
      <c r="C282" s="80"/>
    </row>
    <row r="283" spans="1:3" ht="15.75" customHeight="1" x14ac:dyDescent="0.2">
      <c r="A283" s="79"/>
      <c r="C283" s="80"/>
    </row>
    <row r="284" spans="1:3" ht="15.75" customHeight="1" x14ac:dyDescent="0.2">
      <c r="A284" s="79"/>
      <c r="C284" s="80"/>
    </row>
    <row r="285" spans="1:3" ht="15.75" customHeight="1" x14ac:dyDescent="0.2">
      <c r="A285" s="79"/>
      <c r="C285" s="80"/>
    </row>
    <row r="286" spans="1:3" ht="15.75" customHeight="1" x14ac:dyDescent="0.2">
      <c r="A286" s="79"/>
      <c r="C286" s="80"/>
    </row>
    <row r="287" spans="1:3" ht="15.75" customHeight="1" x14ac:dyDescent="0.2">
      <c r="A287" s="79"/>
      <c r="C287" s="80"/>
    </row>
    <row r="288" spans="1:3" ht="15.75" customHeight="1" x14ac:dyDescent="0.2">
      <c r="A288" s="79"/>
      <c r="C288" s="80"/>
    </row>
    <row r="289" spans="1:3" ht="15.75" customHeight="1" x14ac:dyDescent="0.2">
      <c r="A289" s="79"/>
      <c r="C289" s="80"/>
    </row>
    <row r="290" spans="1:3" ht="15.75" customHeight="1" x14ac:dyDescent="0.2">
      <c r="A290" s="79"/>
      <c r="C290" s="80"/>
    </row>
    <row r="291" spans="1:3" ht="15.75" customHeight="1" x14ac:dyDescent="0.2">
      <c r="A291" s="79"/>
      <c r="C291" s="80"/>
    </row>
    <row r="292" spans="1:3" ht="15.75" customHeight="1" x14ac:dyDescent="0.2">
      <c r="A292" s="79"/>
      <c r="C292" s="80"/>
    </row>
    <row r="293" spans="1:3" ht="15.75" customHeight="1" x14ac:dyDescent="0.2">
      <c r="A293" s="79"/>
      <c r="C293" s="80"/>
    </row>
    <row r="294" spans="1:3" ht="15.75" customHeight="1" x14ac:dyDescent="0.2">
      <c r="A294" s="79"/>
      <c r="C294" s="80"/>
    </row>
    <row r="295" spans="1:3" ht="15.75" customHeight="1" x14ac:dyDescent="0.2">
      <c r="A295" s="79"/>
      <c r="C295" s="80"/>
    </row>
    <row r="296" spans="1:3" ht="15.75" customHeight="1" x14ac:dyDescent="0.2">
      <c r="A296" s="79"/>
      <c r="C296" s="80"/>
    </row>
    <row r="297" spans="1:3" ht="15.75" customHeight="1" x14ac:dyDescent="0.2">
      <c r="A297" s="79"/>
      <c r="C297" s="80"/>
    </row>
    <row r="298" spans="1:3" ht="15.75" customHeight="1" x14ac:dyDescent="0.2">
      <c r="A298" s="79"/>
      <c r="C298" s="80"/>
    </row>
    <row r="299" spans="1:3" ht="15.75" customHeight="1" x14ac:dyDescent="0.2">
      <c r="A299" s="79"/>
      <c r="C299" s="80"/>
    </row>
    <row r="300" spans="1:3" ht="15.75" customHeight="1" x14ac:dyDescent="0.2">
      <c r="A300" s="79"/>
      <c r="C300" s="80"/>
    </row>
    <row r="301" spans="1:3" ht="15.75" customHeight="1" x14ac:dyDescent="0.2">
      <c r="A301" s="79"/>
      <c r="C301" s="80"/>
    </row>
    <row r="302" spans="1:3" ht="15.75" customHeight="1" x14ac:dyDescent="0.2">
      <c r="A302" s="79"/>
      <c r="C302" s="80"/>
    </row>
    <row r="303" spans="1:3" ht="15.75" customHeight="1" x14ac:dyDescent="0.2">
      <c r="A303" s="79"/>
      <c r="C303" s="80"/>
    </row>
    <row r="304" spans="1:3" ht="15.75" customHeight="1" x14ac:dyDescent="0.2">
      <c r="A304" s="79"/>
      <c r="C304" s="80"/>
    </row>
    <row r="305" spans="1:3" ht="15.75" customHeight="1" x14ac:dyDescent="0.2">
      <c r="A305" s="79"/>
      <c r="C305" s="80"/>
    </row>
    <row r="306" spans="1:3" ht="15.75" customHeight="1" x14ac:dyDescent="0.2">
      <c r="A306" s="79"/>
      <c r="C306" s="80"/>
    </row>
    <row r="307" spans="1:3" ht="15.75" customHeight="1" x14ac:dyDescent="0.2">
      <c r="A307" s="79"/>
      <c r="C307" s="80"/>
    </row>
    <row r="308" spans="1:3" ht="15.75" customHeight="1" x14ac:dyDescent="0.2">
      <c r="A308" s="79"/>
      <c r="C308" s="80"/>
    </row>
    <row r="309" spans="1:3" ht="15.75" customHeight="1" x14ac:dyDescent="0.2">
      <c r="A309" s="79"/>
      <c r="C309" s="80"/>
    </row>
    <row r="310" spans="1:3" ht="15.75" customHeight="1" x14ac:dyDescent="0.2">
      <c r="A310" s="79"/>
      <c r="C310" s="80"/>
    </row>
    <row r="311" spans="1:3" ht="15.75" customHeight="1" x14ac:dyDescent="0.2">
      <c r="A311" s="79"/>
      <c r="C311" s="80"/>
    </row>
    <row r="312" spans="1:3" ht="15.75" customHeight="1" x14ac:dyDescent="0.2">
      <c r="A312" s="79"/>
      <c r="C312" s="80"/>
    </row>
    <row r="313" spans="1:3" ht="15.75" customHeight="1" x14ac:dyDescent="0.2">
      <c r="A313" s="79"/>
      <c r="C313" s="80"/>
    </row>
    <row r="314" spans="1:3" ht="15.75" customHeight="1" x14ac:dyDescent="0.2">
      <c r="A314" s="79"/>
      <c r="C314" s="80"/>
    </row>
    <row r="315" spans="1:3" ht="15.75" customHeight="1" x14ac:dyDescent="0.2">
      <c r="A315" s="79"/>
      <c r="C315" s="80"/>
    </row>
    <row r="316" spans="1:3" ht="15.75" customHeight="1" x14ac:dyDescent="0.2">
      <c r="A316" s="79"/>
      <c r="C316" s="80"/>
    </row>
    <row r="317" spans="1:3" ht="15.75" customHeight="1" x14ac:dyDescent="0.2">
      <c r="A317" s="79"/>
      <c r="C317" s="80"/>
    </row>
    <row r="318" spans="1:3" ht="15.75" customHeight="1" x14ac:dyDescent="0.2">
      <c r="A318" s="79"/>
      <c r="C318" s="80"/>
    </row>
    <row r="319" spans="1:3" ht="15.75" customHeight="1" x14ac:dyDescent="0.2">
      <c r="A319" s="79"/>
      <c r="C319" s="80"/>
    </row>
    <row r="320" spans="1:3" ht="15.75" customHeight="1" x14ac:dyDescent="0.2">
      <c r="A320" s="79"/>
      <c r="C320" s="80"/>
    </row>
    <row r="321" spans="1:3" ht="15.75" customHeight="1" x14ac:dyDescent="0.2">
      <c r="A321" s="79"/>
      <c r="C321" s="80"/>
    </row>
    <row r="322" spans="1:3" ht="15.75" customHeight="1" x14ac:dyDescent="0.2">
      <c r="A322" s="79"/>
      <c r="C322" s="80"/>
    </row>
    <row r="323" spans="1:3" ht="15.75" customHeight="1" x14ac:dyDescent="0.2">
      <c r="A323" s="79"/>
      <c r="C323" s="80"/>
    </row>
    <row r="324" spans="1:3" ht="15.75" customHeight="1" x14ac:dyDescent="0.2">
      <c r="A324" s="79"/>
      <c r="C324" s="80"/>
    </row>
    <row r="325" spans="1:3" ht="15.75" customHeight="1" x14ac:dyDescent="0.2">
      <c r="A325" s="79"/>
      <c r="C325" s="80"/>
    </row>
    <row r="326" spans="1:3" ht="15.75" customHeight="1" x14ac:dyDescent="0.2">
      <c r="A326" s="79"/>
      <c r="C326" s="80"/>
    </row>
    <row r="327" spans="1:3" ht="15.75" customHeight="1" x14ac:dyDescent="0.2">
      <c r="A327" s="79"/>
      <c r="C327" s="80"/>
    </row>
    <row r="328" spans="1:3" ht="15.75" customHeight="1" x14ac:dyDescent="0.2">
      <c r="A328" s="79"/>
      <c r="C328" s="80"/>
    </row>
    <row r="329" spans="1:3" ht="15.75" customHeight="1" x14ac:dyDescent="0.2">
      <c r="A329" s="79"/>
      <c r="C329" s="80"/>
    </row>
    <row r="330" spans="1:3" ht="15.75" customHeight="1" x14ac:dyDescent="0.2">
      <c r="A330" s="79"/>
      <c r="C330" s="80"/>
    </row>
    <row r="331" spans="1:3" ht="15.75" customHeight="1" x14ac:dyDescent="0.2">
      <c r="A331" s="79"/>
      <c r="C331" s="80"/>
    </row>
    <row r="332" spans="1:3" ht="15.75" customHeight="1" x14ac:dyDescent="0.2">
      <c r="A332" s="79"/>
      <c r="C332" s="80"/>
    </row>
    <row r="333" spans="1:3" ht="15.75" customHeight="1" x14ac:dyDescent="0.2">
      <c r="A333" s="79"/>
      <c r="C333" s="80"/>
    </row>
    <row r="334" spans="1:3" ht="15.75" customHeight="1" x14ac:dyDescent="0.2">
      <c r="A334" s="79"/>
      <c r="C334" s="80"/>
    </row>
    <row r="335" spans="1:3" ht="15.75" customHeight="1" x14ac:dyDescent="0.2">
      <c r="A335" s="79"/>
      <c r="C335" s="80"/>
    </row>
    <row r="336" spans="1:3" ht="15.75" customHeight="1" x14ac:dyDescent="0.2">
      <c r="A336" s="79"/>
      <c r="C336" s="80"/>
    </row>
    <row r="337" spans="1:3" ht="15.75" customHeight="1" x14ac:dyDescent="0.2">
      <c r="A337" s="79"/>
      <c r="C337" s="80"/>
    </row>
    <row r="338" spans="1:3" ht="15.75" customHeight="1" x14ac:dyDescent="0.2">
      <c r="A338" s="79"/>
      <c r="C338" s="80"/>
    </row>
    <row r="339" spans="1:3" ht="15.75" customHeight="1" x14ac:dyDescent="0.2">
      <c r="A339" s="79"/>
      <c r="C339" s="80"/>
    </row>
    <row r="340" spans="1:3" ht="15.75" customHeight="1" x14ac:dyDescent="0.2">
      <c r="A340" s="79"/>
      <c r="C340" s="80"/>
    </row>
    <row r="341" spans="1:3" ht="15.75" customHeight="1" x14ac:dyDescent="0.2">
      <c r="A341" s="79"/>
      <c r="C341" s="80"/>
    </row>
    <row r="342" spans="1:3" ht="15.75" customHeight="1" x14ac:dyDescent="0.2">
      <c r="A342" s="79"/>
      <c r="C342" s="80"/>
    </row>
    <row r="343" spans="1:3" ht="15.75" customHeight="1" x14ac:dyDescent="0.2">
      <c r="A343" s="79"/>
      <c r="C343" s="80"/>
    </row>
    <row r="344" spans="1:3" ht="15.75" customHeight="1" x14ac:dyDescent="0.2">
      <c r="A344" s="79"/>
      <c r="C344" s="80"/>
    </row>
    <row r="345" spans="1:3" ht="15.75" customHeight="1" x14ac:dyDescent="0.2">
      <c r="A345" s="79"/>
      <c r="C345" s="80"/>
    </row>
    <row r="346" spans="1:3" ht="15.75" customHeight="1" x14ac:dyDescent="0.2">
      <c r="A346" s="79"/>
      <c r="C346" s="80"/>
    </row>
    <row r="347" spans="1:3" ht="15.75" customHeight="1" x14ac:dyDescent="0.2">
      <c r="A347" s="79"/>
      <c r="C347" s="80"/>
    </row>
    <row r="348" spans="1:3" ht="15.75" customHeight="1" x14ac:dyDescent="0.2">
      <c r="A348" s="79"/>
      <c r="C348" s="80"/>
    </row>
    <row r="349" spans="1:3" ht="15.75" customHeight="1" x14ac:dyDescent="0.2">
      <c r="A349" s="79"/>
      <c r="C349" s="80"/>
    </row>
    <row r="350" spans="1:3" ht="15.75" customHeight="1" x14ac:dyDescent="0.2">
      <c r="A350" s="79"/>
      <c r="C350" s="80"/>
    </row>
    <row r="351" spans="1:3" ht="15.75" customHeight="1" x14ac:dyDescent="0.2">
      <c r="A351" s="79"/>
      <c r="C351" s="80"/>
    </row>
    <row r="352" spans="1:3" ht="15.75" customHeight="1" x14ac:dyDescent="0.2">
      <c r="A352" s="79"/>
      <c r="C352" s="80"/>
    </row>
    <row r="353" spans="1:3" ht="15.75" customHeight="1" x14ac:dyDescent="0.2">
      <c r="A353" s="79"/>
      <c r="C353" s="80"/>
    </row>
    <row r="354" spans="1:3" ht="15.75" customHeight="1" x14ac:dyDescent="0.2">
      <c r="A354" s="79"/>
      <c r="C354" s="80"/>
    </row>
    <row r="355" spans="1:3" ht="15.75" customHeight="1" x14ac:dyDescent="0.2">
      <c r="A355" s="79"/>
      <c r="C355" s="80"/>
    </row>
    <row r="356" spans="1:3" ht="15.75" customHeight="1" x14ac:dyDescent="0.2">
      <c r="A356" s="79"/>
      <c r="C356" s="80"/>
    </row>
    <row r="357" spans="1:3" ht="15.75" customHeight="1" x14ac:dyDescent="0.2">
      <c r="A357" s="79"/>
      <c r="C357" s="80"/>
    </row>
    <row r="358" spans="1:3" ht="15.75" customHeight="1" x14ac:dyDescent="0.2">
      <c r="A358" s="79"/>
      <c r="C358" s="80"/>
    </row>
    <row r="359" spans="1:3" ht="15.75" customHeight="1" x14ac:dyDescent="0.2">
      <c r="A359" s="79"/>
      <c r="C359" s="80"/>
    </row>
    <row r="360" spans="1:3" ht="15.75" customHeight="1" x14ac:dyDescent="0.2">
      <c r="A360" s="79"/>
      <c r="C360" s="80"/>
    </row>
    <row r="361" spans="1:3" ht="15.75" customHeight="1" x14ac:dyDescent="0.2">
      <c r="A361" s="79"/>
      <c r="C361" s="80"/>
    </row>
    <row r="362" spans="1:3" ht="15.75" customHeight="1" x14ac:dyDescent="0.2">
      <c r="A362" s="79"/>
      <c r="C362" s="80"/>
    </row>
    <row r="363" spans="1:3" ht="15.75" customHeight="1" x14ac:dyDescent="0.2">
      <c r="A363" s="79"/>
      <c r="C363" s="80"/>
    </row>
    <row r="364" spans="1:3" ht="15.75" customHeight="1" x14ac:dyDescent="0.2">
      <c r="A364" s="79"/>
      <c r="C364" s="80"/>
    </row>
    <row r="365" spans="1:3" ht="15.75" customHeight="1" x14ac:dyDescent="0.2">
      <c r="A365" s="79"/>
      <c r="C365" s="80"/>
    </row>
    <row r="366" spans="1:3" ht="15.75" customHeight="1" x14ac:dyDescent="0.2">
      <c r="A366" s="79"/>
      <c r="C366" s="80"/>
    </row>
    <row r="367" spans="1:3" ht="15.75" customHeight="1" x14ac:dyDescent="0.2">
      <c r="A367" s="79"/>
      <c r="C367" s="80"/>
    </row>
    <row r="368" spans="1:3" ht="15.75" customHeight="1" x14ac:dyDescent="0.2">
      <c r="A368" s="79"/>
      <c r="C368" s="80"/>
    </row>
    <row r="369" spans="1:3" ht="15.75" customHeight="1" x14ac:dyDescent="0.2">
      <c r="A369" s="79"/>
      <c r="C369" s="80"/>
    </row>
    <row r="370" spans="1:3" ht="15.75" customHeight="1" x14ac:dyDescent="0.2">
      <c r="A370" s="79"/>
      <c r="C370" s="80"/>
    </row>
    <row r="371" spans="1:3" ht="15.75" customHeight="1" x14ac:dyDescent="0.2">
      <c r="A371" s="79"/>
      <c r="C371" s="80"/>
    </row>
    <row r="372" spans="1:3" ht="15.75" customHeight="1" x14ac:dyDescent="0.2">
      <c r="A372" s="79"/>
      <c r="C372" s="80"/>
    </row>
    <row r="373" spans="1:3" ht="15.75" customHeight="1" x14ac:dyDescent="0.2">
      <c r="A373" s="79"/>
      <c r="C373" s="80"/>
    </row>
    <row r="374" spans="1:3" ht="15.75" customHeight="1" x14ac:dyDescent="0.2">
      <c r="A374" s="79"/>
      <c r="C374" s="80"/>
    </row>
    <row r="375" spans="1:3" ht="15.75" customHeight="1" x14ac:dyDescent="0.2">
      <c r="A375" s="79"/>
      <c r="C375" s="80"/>
    </row>
    <row r="376" spans="1:3" ht="15.75" customHeight="1" x14ac:dyDescent="0.2">
      <c r="A376" s="79"/>
      <c r="C376" s="80"/>
    </row>
    <row r="377" spans="1:3" ht="15.75" customHeight="1" x14ac:dyDescent="0.2">
      <c r="A377" s="79"/>
      <c r="C377" s="80"/>
    </row>
    <row r="378" spans="1:3" ht="15.75" customHeight="1" x14ac:dyDescent="0.2">
      <c r="A378" s="79"/>
      <c r="C378" s="80"/>
    </row>
    <row r="379" spans="1:3" ht="15.75" customHeight="1" x14ac:dyDescent="0.2">
      <c r="A379" s="79"/>
      <c r="C379" s="80"/>
    </row>
    <row r="380" spans="1:3" ht="15.75" customHeight="1" x14ac:dyDescent="0.2">
      <c r="A380" s="79"/>
      <c r="C380" s="80"/>
    </row>
    <row r="381" spans="1:3" ht="15.75" customHeight="1" x14ac:dyDescent="0.2">
      <c r="A381" s="79"/>
      <c r="C381" s="80"/>
    </row>
    <row r="382" spans="1:3" ht="15.75" customHeight="1" x14ac:dyDescent="0.2">
      <c r="A382" s="79"/>
      <c r="C382" s="80"/>
    </row>
    <row r="383" spans="1:3" ht="15.75" customHeight="1" x14ac:dyDescent="0.2">
      <c r="A383" s="79"/>
      <c r="C383" s="80"/>
    </row>
    <row r="384" spans="1:3" ht="15.75" customHeight="1" x14ac:dyDescent="0.2">
      <c r="A384" s="79"/>
      <c r="C384" s="80"/>
    </row>
    <row r="385" spans="1:3" ht="15.75" customHeight="1" x14ac:dyDescent="0.2">
      <c r="A385" s="79"/>
      <c r="C385" s="80"/>
    </row>
    <row r="386" spans="1:3" ht="15.75" customHeight="1" x14ac:dyDescent="0.2">
      <c r="A386" s="79"/>
      <c r="C386" s="80"/>
    </row>
    <row r="387" spans="1:3" ht="15.75" customHeight="1" x14ac:dyDescent="0.2">
      <c r="A387" s="79"/>
      <c r="C387" s="80"/>
    </row>
    <row r="388" spans="1:3" ht="15.75" customHeight="1" x14ac:dyDescent="0.2">
      <c r="A388" s="79"/>
      <c r="C388" s="80"/>
    </row>
    <row r="389" spans="1:3" ht="15.75" customHeight="1" x14ac:dyDescent="0.2">
      <c r="A389" s="79"/>
      <c r="C389" s="80"/>
    </row>
    <row r="390" spans="1:3" ht="15.75" customHeight="1" x14ac:dyDescent="0.2">
      <c r="A390" s="79"/>
      <c r="C390" s="80"/>
    </row>
    <row r="391" spans="1:3" ht="15.75" customHeight="1" x14ac:dyDescent="0.2">
      <c r="A391" s="79"/>
      <c r="C391" s="80"/>
    </row>
    <row r="392" spans="1:3" ht="15.75" customHeight="1" x14ac:dyDescent="0.2">
      <c r="A392" s="79"/>
      <c r="C392" s="80"/>
    </row>
    <row r="393" spans="1:3" ht="15.75" customHeight="1" x14ac:dyDescent="0.2">
      <c r="A393" s="79"/>
      <c r="C393" s="80"/>
    </row>
    <row r="394" spans="1:3" ht="15.75" customHeight="1" x14ac:dyDescent="0.2">
      <c r="A394" s="79"/>
      <c r="C394" s="80"/>
    </row>
    <row r="395" spans="1:3" ht="15.75" customHeight="1" x14ac:dyDescent="0.2">
      <c r="A395" s="79"/>
      <c r="C395" s="80"/>
    </row>
    <row r="396" spans="1:3" ht="15.75" customHeight="1" x14ac:dyDescent="0.2">
      <c r="A396" s="79"/>
      <c r="C396" s="80"/>
    </row>
    <row r="397" spans="1:3" ht="15.75" customHeight="1" x14ac:dyDescent="0.2">
      <c r="A397" s="79"/>
      <c r="C397" s="80"/>
    </row>
    <row r="398" spans="1:3" ht="15.75" customHeight="1" x14ac:dyDescent="0.2">
      <c r="A398" s="79"/>
      <c r="C398" s="80"/>
    </row>
    <row r="399" spans="1:3" ht="15.75" customHeight="1" x14ac:dyDescent="0.2">
      <c r="A399" s="79"/>
      <c r="C399" s="80"/>
    </row>
    <row r="400" spans="1:3" ht="15.75" customHeight="1" x14ac:dyDescent="0.2">
      <c r="A400" s="79"/>
      <c r="C400" s="80"/>
    </row>
    <row r="401" spans="1:3" ht="15.75" customHeight="1" x14ac:dyDescent="0.2">
      <c r="A401" s="79"/>
      <c r="C401" s="80"/>
    </row>
    <row r="402" spans="1:3" ht="15.75" customHeight="1" x14ac:dyDescent="0.2">
      <c r="A402" s="79"/>
      <c r="C402" s="80"/>
    </row>
    <row r="403" spans="1:3" ht="15.75" customHeight="1" x14ac:dyDescent="0.2">
      <c r="A403" s="79"/>
      <c r="C403" s="80"/>
    </row>
    <row r="404" spans="1:3" ht="15.75" customHeight="1" x14ac:dyDescent="0.2">
      <c r="A404" s="79"/>
      <c r="C404" s="80"/>
    </row>
    <row r="405" spans="1:3" ht="15.75" customHeight="1" x14ac:dyDescent="0.2">
      <c r="A405" s="79"/>
      <c r="C405" s="80"/>
    </row>
    <row r="406" spans="1:3" ht="15.75" customHeight="1" x14ac:dyDescent="0.2">
      <c r="A406" s="79"/>
      <c r="C406" s="80"/>
    </row>
    <row r="407" spans="1:3" ht="15.75" customHeight="1" x14ac:dyDescent="0.2">
      <c r="A407" s="79"/>
      <c r="C407" s="80"/>
    </row>
    <row r="408" spans="1:3" ht="15.75" customHeight="1" x14ac:dyDescent="0.2">
      <c r="A408" s="79"/>
      <c r="C408" s="80"/>
    </row>
    <row r="409" spans="1:3" ht="15.75" customHeight="1" x14ac:dyDescent="0.2">
      <c r="A409" s="79"/>
      <c r="C409" s="80"/>
    </row>
    <row r="410" spans="1:3" ht="15.75" customHeight="1" x14ac:dyDescent="0.2">
      <c r="A410" s="79"/>
      <c r="C410" s="80"/>
    </row>
    <row r="411" spans="1:3" ht="15.75" customHeight="1" x14ac:dyDescent="0.2">
      <c r="A411" s="79"/>
      <c r="C411" s="80"/>
    </row>
    <row r="412" spans="1:3" ht="15.75" customHeight="1" x14ac:dyDescent="0.2">
      <c r="A412" s="79"/>
      <c r="C412" s="80"/>
    </row>
    <row r="413" spans="1:3" ht="15.75" customHeight="1" x14ac:dyDescent="0.2">
      <c r="A413" s="79"/>
      <c r="C413" s="80"/>
    </row>
    <row r="414" spans="1:3" ht="15.75" customHeight="1" x14ac:dyDescent="0.2">
      <c r="A414" s="79"/>
      <c r="C414" s="80"/>
    </row>
    <row r="415" spans="1:3" ht="15.75" customHeight="1" x14ac:dyDescent="0.2">
      <c r="A415" s="79"/>
      <c r="C415" s="80"/>
    </row>
    <row r="416" spans="1:3" ht="15.75" customHeight="1" x14ac:dyDescent="0.2">
      <c r="A416" s="79"/>
      <c r="C416" s="80"/>
    </row>
    <row r="417" spans="1:3" ht="15.75" customHeight="1" x14ac:dyDescent="0.2">
      <c r="A417" s="79"/>
      <c r="C417" s="80"/>
    </row>
    <row r="418" spans="1:3" ht="15.75" customHeight="1" x14ac:dyDescent="0.2">
      <c r="A418" s="79"/>
      <c r="C418" s="80"/>
    </row>
    <row r="419" spans="1:3" ht="15.75" customHeight="1" x14ac:dyDescent="0.2">
      <c r="A419" s="79"/>
      <c r="C419" s="80"/>
    </row>
    <row r="420" spans="1:3" ht="15.75" customHeight="1" x14ac:dyDescent="0.2">
      <c r="A420" s="79"/>
      <c r="C420" s="80"/>
    </row>
    <row r="421" spans="1:3" ht="15.75" customHeight="1" x14ac:dyDescent="0.2">
      <c r="A421" s="79"/>
      <c r="C421" s="80"/>
    </row>
    <row r="422" spans="1:3" ht="15.75" customHeight="1" x14ac:dyDescent="0.2">
      <c r="A422" s="79"/>
      <c r="C422" s="80"/>
    </row>
    <row r="423" spans="1:3" ht="15.75" customHeight="1" x14ac:dyDescent="0.2">
      <c r="A423" s="79"/>
      <c r="C423" s="80"/>
    </row>
    <row r="424" spans="1:3" ht="15.75" customHeight="1" x14ac:dyDescent="0.2">
      <c r="A424" s="79"/>
      <c r="C424" s="80"/>
    </row>
    <row r="425" spans="1:3" ht="15.75" customHeight="1" x14ac:dyDescent="0.2">
      <c r="A425" s="79"/>
      <c r="C425" s="80"/>
    </row>
    <row r="426" spans="1:3" ht="15.75" customHeight="1" x14ac:dyDescent="0.2">
      <c r="A426" s="79"/>
      <c r="C426" s="80"/>
    </row>
    <row r="427" spans="1:3" ht="15.75" customHeight="1" x14ac:dyDescent="0.2">
      <c r="A427" s="79"/>
      <c r="C427" s="80"/>
    </row>
    <row r="428" spans="1:3" ht="15.75" customHeight="1" x14ac:dyDescent="0.2">
      <c r="A428" s="79"/>
      <c r="C428" s="80"/>
    </row>
    <row r="429" spans="1:3" ht="15.75" customHeight="1" x14ac:dyDescent="0.2">
      <c r="A429" s="79"/>
      <c r="C429" s="80"/>
    </row>
    <row r="430" spans="1:3" ht="15.75" customHeight="1" x14ac:dyDescent="0.2">
      <c r="A430" s="79"/>
      <c r="C430" s="80"/>
    </row>
    <row r="431" spans="1:3" ht="15.75" customHeight="1" x14ac:dyDescent="0.2">
      <c r="A431" s="79"/>
      <c r="C431" s="80"/>
    </row>
    <row r="432" spans="1:3" ht="15.75" customHeight="1" x14ac:dyDescent="0.2">
      <c r="A432" s="79"/>
      <c r="C432" s="80"/>
    </row>
    <row r="433" spans="1:3" ht="15.75" customHeight="1" x14ac:dyDescent="0.2">
      <c r="A433" s="79"/>
      <c r="C433" s="80"/>
    </row>
    <row r="434" spans="1:3" ht="15.75" customHeight="1" x14ac:dyDescent="0.2">
      <c r="A434" s="79"/>
      <c r="C434" s="80"/>
    </row>
    <row r="435" spans="1:3" ht="15.75" customHeight="1" x14ac:dyDescent="0.2">
      <c r="A435" s="79"/>
      <c r="C435" s="80"/>
    </row>
    <row r="436" spans="1:3" ht="15.75" customHeight="1" x14ac:dyDescent="0.2">
      <c r="A436" s="79"/>
      <c r="C436" s="80"/>
    </row>
    <row r="437" spans="1:3" ht="15.75" customHeight="1" x14ac:dyDescent="0.2">
      <c r="A437" s="79"/>
      <c r="C437" s="80"/>
    </row>
    <row r="438" spans="1:3" ht="15.75" customHeight="1" x14ac:dyDescent="0.2">
      <c r="A438" s="79"/>
      <c r="C438" s="80"/>
    </row>
    <row r="439" spans="1:3" ht="15.75" customHeight="1" x14ac:dyDescent="0.2">
      <c r="A439" s="79"/>
      <c r="C439" s="80"/>
    </row>
    <row r="440" spans="1:3" ht="15.75" customHeight="1" x14ac:dyDescent="0.2">
      <c r="A440" s="79"/>
      <c r="C440" s="80"/>
    </row>
    <row r="441" spans="1:3" ht="15.75" customHeight="1" x14ac:dyDescent="0.2">
      <c r="A441" s="79"/>
      <c r="C441" s="80"/>
    </row>
    <row r="442" spans="1:3" ht="15.75" customHeight="1" x14ac:dyDescent="0.2">
      <c r="A442" s="79"/>
      <c r="C442" s="80"/>
    </row>
    <row r="443" spans="1:3" ht="15.75" customHeight="1" x14ac:dyDescent="0.2">
      <c r="A443" s="79"/>
      <c r="C443" s="80"/>
    </row>
    <row r="444" spans="1:3" ht="15.75" customHeight="1" x14ac:dyDescent="0.2">
      <c r="A444" s="79"/>
      <c r="C444" s="80"/>
    </row>
    <row r="445" spans="1:3" ht="15.75" customHeight="1" x14ac:dyDescent="0.2">
      <c r="A445" s="79"/>
      <c r="C445" s="80"/>
    </row>
    <row r="446" spans="1:3" ht="15.75" customHeight="1" x14ac:dyDescent="0.2">
      <c r="A446" s="79"/>
      <c r="C446" s="80"/>
    </row>
    <row r="447" spans="1:3" ht="15.75" customHeight="1" x14ac:dyDescent="0.2">
      <c r="A447" s="79"/>
      <c r="C447" s="80"/>
    </row>
    <row r="448" spans="1:3" ht="15.75" customHeight="1" x14ac:dyDescent="0.2">
      <c r="A448" s="79"/>
      <c r="C448" s="80"/>
    </row>
    <row r="449" spans="1:3" ht="15.75" customHeight="1" x14ac:dyDescent="0.2">
      <c r="A449" s="79"/>
      <c r="C449" s="80"/>
    </row>
    <row r="450" spans="1:3" ht="15.75" customHeight="1" x14ac:dyDescent="0.2">
      <c r="A450" s="79"/>
      <c r="C450" s="80"/>
    </row>
    <row r="451" spans="1:3" ht="15.75" customHeight="1" x14ac:dyDescent="0.2">
      <c r="A451" s="79"/>
      <c r="C451" s="80"/>
    </row>
    <row r="452" spans="1:3" ht="15.75" customHeight="1" x14ac:dyDescent="0.2">
      <c r="A452" s="79"/>
      <c r="C452" s="80"/>
    </row>
    <row r="453" spans="1:3" ht="15.75" customHeight="1" x14ac:dyDescent="0.2">
      <c r="A453" s="79"/>
      <c r="C453" s="80"/>
    </row>
    <row r="454" spans="1:3" ht="15.75" customHeight="1" x14ac:dyDescent="0.2">
      <c r="A454" s="79"/>
      <c r="C454" s="80"/>
    </row>
    <row r="455" spans="1:3" ht="15.75" customHeight="1" x14ac:dyDescent="0.2">
      <c r="A455" s="79"/>
      <c r="C455" s="80"/>
    </row>
    <row r="456" spans="1:3" ht="15.75" customHeight="1" x14ac:dyDescent="0.2">
      <c r="A456" s="79"/>
      <c r="C456" s="80"/>
    </row>
    <row r="457" spans="1:3" ht="15.75" customHeight="1" x14ac:dyDescent="0.2">
      <c r="A457" s="79"/>
      <c r="C457" s="80"/>
    </row>
    <row r="458" spans="1:3" ht="15.75" customHeight="1" x14ac:dyDescent="0.2">
      <c r="A458" s="79"/>
      <c r="C458" s="80"/>
    </row>
    <row r="459" spans="1:3" ht="15.75" customHeight="1" x14ac:dyDescent="0.2">
      <c r="A459" s="79"/>
      <c r="C459" s="80"/>
    </row>
    <row r="460" spans="1:3" ht="15.75" customHeight="1" x14ac:dyDescent="0.2">
      <c r="A460" s="79"/>
      <c r="C460" s="80"/>
    </row>
    <row r="461" spans="1:3" ht="15.75" customHeight="1" x14ac:dyDescent="0.2">
      <c r="A461" s="79"/>
      <c r="C461" s="80"/>
    </row>
    <row r="462" spans="1:3" ht="15.75" customHeight="1" x14ac:dyDescent="0.2">
      <c r="A462" s="79"/>
      <c r="C462" s="80"/>
    </row>
    <row r="463" spans="1:3" ht="15.75" customHeight="1" x14ac:dyDescent="0.2">
      <c r="A463" s="79"/>
      <c r="C463" s="80"/>
    </row>
    <row r="464" spans="1:3" ht="15.75" customHeight="1" x14ac:dyDescent="0.2">
      <c r="A464" s="79"/>
      <c r="C464" s="80"/>
    </row>
    <row r="465" spans="1:3" ht="15.75" customHeight="1" x14ac:dyDescent="0.2">
      <c r="A465" s="79"/>
      <c r="C465" s="80"/>
    </row>
    <row r="466" spans="1:3" ht="15.75" customHeight="1" x14ac:dyDescent="0.2">
      <c r="A466" s="79"/>
      <c r="C466" s="80"/>
    </row>
    <row r="467" spans="1:3" ht="15.75" customHeight="1" x14ac:dyDescent="0.2">
      <c r="A467" s="79"/>
      <c r="C467" s="80"/>
    </row>
    <row r="468" spans="1:3" ht="15.75" customHeight="1" x14ac:dyDescent="0.2">
      <c r="A468" s="79"/>
      <c r="C468" s="80"/>
    </row>
    <row r="469" spans="1:3" ht="15.75" customHeight="1" x14ac:dyDescent="0.2">
      <c r="A469" s="79"/>
      <c r="C469" s="80"/>
    </row>
    <row r="470" spans="1:3" ht="15.75" customHeight="1" x14ac:dyDescent="0.2">
      <c r="A470" s="79"/>
      <c r="C470" s="80"/>
    </row>
    <row r="471" spans="1:3" ht="15.75" customHeight="1" x14ac:dyDescent="0.2">
      <c r="A471" s="79"/>
      <c r="C471" s="80"/>
    </row>
    <row r="472" spans="1:3" ht="15.75" customHeight="1" x14ac:dyDescent="0.2">
      <c r="A472" s="79"/>
      <c r="C472" s="80"/>
    </row>
    <row r="473" spans="1:3" ht="15.75" customHeight="1" x14ac:dyDescent="0.2">
      <c r="A473" s="79"/>
      <c r="C473" s="80"/>
    </row>
    <row r="474" spans="1:3" ht="15.75" customHeight="1" x14ac:dyDescent="0.2">
      <c r="A474" s="79"/>
      <c r="C474" s="80"/>
    </row>
    <row r="475" spans="1:3" ht="15.75" customHeight="1" x14ac:dyDescent="0.2">
      <c r="A475" s="79"/>
      <c r="C475" s="80"/>
    </row>
    <row r="476" spans="1:3" ht="15.75" customHeight="1" x14ac:dyDescent="0.2">
      <c r="A476" s="79"/>
      <c r="C476" s="80"/>
    </row>
    <row r="477" spans="1:3" ht="15.75" customHeight="1" x14ac:dyDescent="0.2">
      <c r="A477" s="79"/>
      <c r="C477" s="80"/>
    </row>
    <row r="478" spans="1:3" ht="15.75" customHeight="1" x14ac:dyDescent="0.2">
      <c r="A478" s="79"/>
      <c r="C478" s="80"/>
    </row>
    <row r="479" spans="1:3" ht="15.75" customHeight="1" x14ac:dyDescent="0.2">
      <c r="A479" s="79"/>
      <c r="C479" s="80"/>
    </row>
    <row r="480" spans="1:3" ht="15.75" customHeight="1" x14ac:dyDescent="0.2">
      <c r="A480" s="79"/>
      <c r="C480" s="80"/>
    </row>
    <row r="481" spans="1:3" ht="15.75" customHeight="1" x14ac:dyDescent="0.2">
      <c r="A481" s="79"/>
      <c r="C481" s="80"/>
    </row>
    <row r="482" spans="1:3" ht="15.75" customHeight="1" x14ac:dyDescent="0.2">
      <c r="A482" s="79"/>
      <c r="C482" s="80"/>
    </row>
    <row r="483" spans="1:3" ht="15.75" customHeight="1" x14ac:dyDescent="0.2">
      <c r="A483" s="79"/>
      <c r="C483" s="80"/>
    </row>
    <row r="484" spans="1:3" ht="15.75" customHeight="1" x14ac:dyDescent="0.2">
      <c r="A484" s="79"/>
      <c r="C484" s="80"/>
    </row>
    <row r="485" spans="1:3" ht="15.75" customHeight="1" x14ac:dyDescent="0.2">
      <c r="A485" s="79"/>
      <c r="C485" s="80"/>
    </row>
    <row r="486" spans="1:3" ht="15.75" customHeight="1" x14ac:dyDescent="0.2">
      <c r="A486" s="79"/>
      <c r="C486" s="80"/>
    </row>
    <row r="487" spans="1:3" ht="15.75" customHeight="1" x14ac:dyDescent="0.2">
      <c r="A487" s="79"/>
      <c r="C487" s="80"/>
    </row>
    <row r="488" spans="1:3" ht="15.75" customHeight="1" x14ac:dyDescent="0.2">
      <c r="A488" s="79"/>
      <c r="C488" s="80"/>
    </row>
    <row r="489" spans="1:3" ht="15.75" customHeight="1" x14ac:dyDescent="0.2">
      <c r="A489" s="79"/>
      <c r="C489" s="80"/>
    </row>
    <row r="490" spans="1:3" ht="15.75" customHeight="1" x14ac:dyDescent="0.2">
      <c r="A490" s="79"/>
      <c r="C490" s="80"/>
    </row>
    <row r="491" spans="1:3" ht="15.75" customHeight="1" x14ac:dyDescent="0.2">
      <c r="A491" s="79"/>
      <c r="C491" s="80"/>
    </row>
    <row r="492" spans="1:3" ht="15.75" customHeight="1" x14ac:dyDescent="0.2">
      <c r="A492" s="79"/>
      <c r="C492" s="80"/>
    </row>
    <row r="493" spans="1:3" ht="15.75" customHeight="1" x14ac:dyDescent="0.2">
      <c r="A493" s="79"/>
      <c r="C493" s="80"/>
    </row>
    <row r="494" spans="1:3" ht="15.75" customHeight="1" x14ac:dyDescent="0.2">
      <c r="A494" s="79"/>
      <c r="C494" s="80"/>
    </row>
    <row r="495" spans="1:3" ht="15.75" customHeight="1" x14ac:dyDescent="0.2">
      <c r="A495" s="79"/>
      <c r="C495" s="80"/>
    </row>
    <row r="496" spans="1:3" ht="15.75" customHeight="1" x14ac:dyDescent="0.2">
      <c r="A496" s="79"/>
      <c r="C496" s="80"/>
    </row>
    <row r="497" spans="1:3" ht="15.75" customHeight="1" x14ac:dyDescent="0.2">
      <c r="A497" s="79"/>
      <c r="C497" s="80"/>
    </row>
    <row r="498" spans="1:3" ht="15.75" customHeight="1" x14ac:dyDescent="0.2">
      <c r="A498" s="79"/>
      <c r="C498" s="80"/>
    </row>
    <row r="499" spans="1:3" ht="15.75" customHeight="1" x14ac:dyDescent="0.2">
      <c r="A499" s="79"/>
      <c r="C499" s="80"/>
    </row>
    <row r="500" spans="1:3" ht="15.75" customHeight="1" x14ac:dyDescent="0.2">
      <c r="A500" s="79"/>
      <c r="C500" s="80"/>
    </row>
    <row r="501" spans="1:3" ht="15.75" customHeight="1" x14ac:dyDescent="0.2">
      <c r="A501" s="79"/>
      <c r="C501" s="80"/>
    </row>
    <row r="502" spans="1:3" ht="15.75" customHeight="1" x14ac:dyDescent="0.2">
      <c r="A502" s="79"/>
      <c r="C502" s="80"/>
    </row>
    <row r="503" spans="1:3" ht="15.75" customHeight="1" x14ac:dyDescent="0.2">
      <c r="A503" s="79"/>
      <c r="C503" s="80"/>
    </row>
    <row r="504" spans="1:3" ht="15.75" customHeight="1" x14ac:dyDescent="0.2">
      <c r="A504" s="79"/>
      <c r="C504" s="80"/>
    </row>
    <row r="505" spans="1:3" ht="15.75" customHeight="1" x14ac:dyDescent="0.2">
      <c r="A505" s="79"/>
      <c r="C505" s="80"/>
    </row>
    <row r="506" spans="1:3" ht="15.75" customHeight="1" x14ac:dyDescent="0.2">
      <c r="A506" s="79"/>
      <c r="C506" s="80"/>
    </row>
    <row r="507" spans="1:3" ht="15.75" customHeight="1" x14ac:dyDescent="0.2">
      <c r="A507" s="79"/>
      <c r="C507" s="80"/>
    </row>
    <row r="508" spans="1:3" ht="15.75" customHeight="1" x14ac:dyDescent="0.2">
      <c r="A508" s="79"/>
      <c r="C508" s="80"/>
    </row>
    <row r="509" spans="1:3" ht="15.75" customHeight="1" x14ac:dyDescent="0.2">
      <c r="A509" s="79"/>
      <c r="C509" s="80"/>
    </row>
    <row r="510" spans="1:3" ht="15.75" customHeight="1" x14ac:dyDescent="0.2">
      <c r="A510" s="79"/>
      <c r="C510" s="80"/>
    </row>
    <row r="511" spans="1:3" ht="15.75" customHeight="1" x14ac:dyDescent="0.2">
      <c r="A511" s="79"/>
      <c r="C511" s="80"/>
    </row>
    <row r="512" spans="1:3" ht="15.75" customHeight="1" x14ac:dyDescent="0.2">
      <c r="A512" s="79"/>
      <c r="C512" s="80"/>
    </row>
    <row r="513" spans="1:3" ht="15.75" customHeight="1" x14ac:dyDescent="0.2">
      <c r="A513" s="79"/>
      <c r="C513" s="80"/>
    </row>
    <row r="514" spans="1:3" ht="15.75" customHeight="1" x14ac:dyDescent="0.2">
      <c r="A514" s="79"/>
      <c r="C514" s="80"/>
    </row>
    <row r="515" spans="1:3" ht="15.75" customHeight="1" x14ac:dyDescent="0.2">
      <c r="A515" s="79"/>
      <c r="C515" s="80"/>
    </row>
    <row r="516" spans="1:3" ht="15.75" customHeight="1" x14ac:dyDescent="0.2">
      <c r="A516" s="79"/>
      <c r="C516" s="80"/>
    </row>
    <row r="517" spans="1:3" ht="15.75" customHeight="1" x14ac:dyDescent="0.2">
      <c r="A517" s="79"/>
      <c r="C517" s="80"/>
    </row>
    <row r="518" spans="1:3" ht="15.75" customHeight="1" x14ac:dyDescent="0.2">
      <c r="A518" s="79"/>
      <c r="C518" s="80"/>
    </row>
    <row r="519" spans="1:3" ht="15.75" customHeight="1" x14ac:dyDescent="0.2">
      <c r="A519" s="79"/>
      <c r="C519" s="80"/>
    </row>
    <row r="520" spans="1:3" ht="15.75" customHeight="1" x14ac:dyDescent="0.2">
      <c r="A520" s="79"/>
      <c r="C520" s="80"/>
    </row>
    <row r="521" spans="1:3" ht="15.75" customHeight="1" x14ac:dyDescent="0.2">
      <c r="A521" s="79"/>
      <c r="C521" s="80"/>
    </row>
    <row r="522" spans="1:3" ht="15.75" customHeight="1" x14ac:dyDescent="0.2">
      <c r="A522" s="79"/>
      <c r="C522" s="80"/>
    </row>
    <row r="523" spans="1:3" ht="15.75" customHeight="1" x14ac:dyDescent="0.2">
      <c r="A523" s="79"/>
      <c r="C523" s="80"/>
    </row>
    <row r="524" spans="1:3" ht="15.75" customHeight="1" x14ac:dyDescent="0.2">
      <c r="A524" s="79"/>
      <c r="C524" s="80"/>
    </row>
    <row r="525" spans="1:3" ht="15.75" customHeight="1" x14ac:dyDescent="0.2">
      <c r="A525" s="79"/>
      <c r="C525" s="80"/>
    </row>
    <row r="526" spans="1:3" ht="15.75" customHeight="1" x14ac:dyDescent="0.2">
      <c r="A526" s="79"/>
      <c r="C526" s="80"/>
    </row>
    <row r="527" spans="1:3" ht="15.75" customHeight="1" x14ac:dyDescent="0.2">
      <c r="A527" s="79"/>
      <c r="C527" s="80"/>
    </row>
    <row r="528" spans="1:3" ht="15.75" customHeight="1" x14ac:dyDescent="0.2">
      <c r="A528" s="79"/>
      <c r="C528" s="80"/>
    </row>
    <row r="529" spans="1:3" ht="15.75" customHeight="1" x14ac:dyDescent="0.2">
      <c r="A529" s="79"/>
      <c r="C529" s="80"/>
    </row>
    <row r="530" spans="1:3" ht="15.75" customHeight="1" x14ac:dyDescent="0.2">
      <c r="A530" s="79"/>
      <c r="C530" s="80"/>
    </row>
    <row r="531" spans="1:3" ht="15.75" customHeight="1" x14ac:dyDescent="0.2">
      <c r="A531" s="79"/>
      <c r="C531" s="80"/>
    </row>
    <row r="532" spans="1:3" ht="15.75" customHeight="1" x14ac:dyDescent="0.2">
      <c r="A532" s="79"/>
      <c r="C532" s="80"/>
    </row>
    <row r="533" spans="1:3" ht="15.75" customHeight="1" x14ac:dyDescent="0.2">
      <c r="A533" s="79"/>
      <c r="C533" s="80"/>
    </row>
    <row r="534" spans="1:3" ht="15.75" customHeight="1" x14ac:dyDescent="0.2">
      <c r="A534" s="79"/>
      <c r="C534" s="80"/>
    </row>
    <row r="535" spans="1:3" ht="15.75" customHeight="1" x14ac:dyDescent="0.2">
      <c r="A535" s="79"/>
      <c r="C535" s="80"/>
    </row>
    <row r="536" spans="1:3" ht="15.75" customHeight="1" x14ac:dyDescent="0.2">
      <c r="A536" s="79"/>
      <c r="C536" s="80"/>
    </row>
    <row r="537" spans="1:3" ht="15.75" customHeight="1" x14ac:dyDescent="0.2">
      <c r="A537" s="79"/>
      <c r="C537" s="80"/>
    </row>
    <row r="538" spans="1:3" ht="15.75" customHeight="1" x14ac:dyDescent="0.2">
      <c r="A538" s="79"/>
      <c r="C538" s="80"/>
    </row>
    <row r="539" spans="1:3" ht="15.75" customHeight="1" x14ac:dyDescent="0.2">
      <c r="A539" s="79"/>
      <c r="C539" s="80"/>
    </row>
    <row r="540" spans="1:3" ht="15.75" customHeight="1" x14ac:dyDescent="0.2">
      <c r="A540" s="79"/>
      <c r="C540" s="80"/>
    </row>
    <row r="541" spans="1:3" ht="15.75" customHeight="1" x14ac:dyDescent="0.2">
      <c r="A541" s="79"/>
      <c r="C541" s="80"/>
    </row>
    <row r="542" spans="1:3" ht="15.75" customHeight="1" x14ac:dyDescent="0.2">
      <c r="A542" s="79"/>
      <c r="C542" s="80"/>
    </row>
    <row r="543" spans="1:3" ht="15.75" customHeight="1" x14ac:dyDescent="0.2">
      <c r="A543" s="79"/>
      <c r="C543" s="80"/>
    </row>
    <row r="544" spans="1:3" ht="15.75" customHeight="1" x14ac:dyDescent="0.2">
      <c r="A544" s="79"/>
      <c r="C544" s="80"/>
    </row>
    <row r="545" spans="1:3" ht="15.75" customHeight="1" x14ac:dyDescent="0.2">
      <c r="A545" s="79"/>
      <c r="C545" s="80"/>
    </row>
    <row r="546" spans="1:3" ht="15.75" customHeight="1" x14ac:dyDescent="0.2">
      <c r="A546" s="79"/>
      <c r="C546" s="80"/>
    </row>
    <row r="547" spans="1:3" ht="15.75" customHeight="1" x14ac:dyDescent="0.2">
      <c r="A547" s="79"/>
      <c r="C547" s="80"/>
    </row>
    <row r="548" spans="1:3" ht="15.75" customHeight="1" x14ac:dyDescent="0.2">
      <c r="A548" s="79"/>
      <c r="C548" s="80"/>
    </row>
    <row r="549" spans="1:3" ht="15.75" customHeight="1" x14ac:dyDescent="0.2">
      <c r="A549" s="79"/>
      <c r="C549" s="80"/>
    </row>
    <row r="550" spans="1:3" ht="15.75" customHeight="1" x14ac:dyDescent="0.2">
      <c r="A550" s="79"/>
      <c r="C550" s="80"/>
    </row>
    <row r="551" spans="1:3" ht="15.75" customHeight="1" x14ac:dyDescent="0.2">
      <c r="A551" s="79"/>
      <c r="C551" s="80"/>
    </row>
    <row r="552" spans="1:3" ht="15.75" customHeight="1" x14ac:dyDescent="0.2">
      <c r="A552" s="79"/>
      <c r="C552" s="80"/>
    </row>
    <row r="553" spans="1:3" ht="15.75" customHeight="1" x14ac:dyDescent="0.2">
      <c r="A553" s="79"/>
      <c r="C553" s="80"/>
    </row>
    <row r="554" spans="1:3" ht="15.75" customHeight="1" x14ac:dyDescent="0.2">
      <c r="A554" s="79"/>
      <c r="C554" s="80"/>
    </row>
    <row r="555" spans="1:3" ht="15.75" customHeight="1" x14ac:dyDescent="0.2">
      <c r="A555" s="79"/>
      <c r="C555" s="80"/>
    </row>
    <row r="556" spans="1:3" ht="15.75" customHeight="1" x14ac:dyDescent="0.2">
      <c r="A556" s="79"/>
      <c r="C556" s="80"/>
    </row>
    <row r="557" spans="1:3" ht="15.75" customHeight="1" x14ac:dyDescent="0.2">
      <c r="A557" s="79"/>
      <c r="C557" s="80"/>
    </row>
    <row r="558" spans="1:3" ht="15.75" customHeight="1" x14ac:dyDescent="0.2">
      <c r="A558" s="79"/>
      <c r="C558" s="80"/>
    </row>
    <row r="559" spans="1:3" ht="15.75" customHeight="1" x14ac:dyDescent="0.2">
      <c r="A559" s="79"/>
      <c r="C559" s="80"/>
    </row>
    <row r="560" spans="1:3" ht="15.75" customHeight="1" x14ac:dyDescent="0.2">
      <c r="A560" s="79"/>
      <c r="C560" s="80"/>
    </row>
    <row r="561" spans="1:3" ht="15.75" customHeight="1" x14ac:dyDescent="0.2">
      <c r="A561" s="79"/>
      <c r="C561" s="80"/>
    </row>
    <row r="562" spans="1:3" ht="15.75" customHeight="1" x14ac:dyDescent="0.2">
      <c r="A562" s="79"/>
      <c r="C562" s="80"/>
    </row>
    <row r="563" spans="1:3" ht="15.75" customHeight="1" x14ac:dyDescent="0.2">
      <c r="A563" s="79"/>
      <c r="C563" s="80"/>
    </row>
    <row r="564" spans="1:3" ht="15.75" customHeight="1" x14ac:dyDescent="0.2">
      <c r="A564" s="79"/>
      <c r="C564" s="80"/>
    </row>
    <row r="565" spans="1:3" ht="15.75" customHeight="1" x14ac:dyDescent="0.2">
      <c r="A565" s="79"/>
      <c r="C565" s="80"/>
    </row>
    <row r="566" spans="1:3" ht="15.75" customHeight="1" x14ac:dyDescent="0.2">
      <c r="A566" s="79"/>
      <c r="C566" s="80"/>
    </row>
    <row r="567" spans="1:3" ht="15.75" customHeight="1" x14ac:dyDescent="0.2">
      <c r="A567" s="79"/>
      <c r="C567" s="80"/>
    </row>
    <row r="568" spans="1:3" ht="15.75" customHeight="1" x14ac:dyDescent="0.2">
      <c r="A568" s="79"/>
      <c r="C568" s="80"/>
    </row>
    <row r="569" spans="1:3" ht="15.75" customHeight="1" x14ac:dyDescent="0.2">
      <c r="A569" s="79"/>
      <c r="C569" s="80"/>
    </row>
    <row r="570" spans="1:3" ht="15.75" customHeight="1" x14ac:dyDescent="0.2">
      <c r="A570" s="79"/>
      <c r="C570" s="80"/>
    </row>
    <row r="571" spans="1:3" ht="15.75" customHeight="1" x14ac:dyDescent="0.2">
      <c r="A571" s="79"/>
      <c r="C571" s="80"/>
    </row>
    <row r="572" spans="1:3" ht="15.75" customHeight="1" x14ac:dyDescent="0.2">
      <c r="A572" s="79"/>
      <c r="C572" s="80"/>
    </row>
    <row r="573" spans="1:3" ht="15.75" customHeight="1" x14ac:dyDescent="0.2">
      <c r="A573" s="79"/>
      <c r="C573" s="80"/>
    </row>
    <row r="574" spans="1:3" ht="15.75" customHeight="1" x14ac:dyDescent="0.2">
      <c r="A574" s="79"/>
      <c r="C574" s="80"/>
    </row>
    <row r="575" spans="1:3" ht="15.75" customHeight="1" x14ac:dyDescent="0.2">
      <c r="A575" s="79"/>
      <c r="C575" s="80"/>
    </row>
    <row r="576" spans="1:3" ht="15.75" customHeight="1" x14ac:dyDescent="0.2">
      <c r="A576" s="79"/>
      <c r="C576" s="80"/>
    </row>
    <row r="577" spans="1:3" ht="15.75" customHeight="1" x14ac:dyDescent="0.2">
      <c r="A577" s="79"/>
      <c r="C577" s="80"/>
    </row>
    <row r="578" spans="1:3" ht="15.75" customHeight="1" x14ac:dyDescent="0.2">
      <c r="A578" s="79"/>
      <c r="C578" s="80"/>
    </row>
    <row r="579" spans="1:3" ht="15.75" customHeight="1" x14ac:dyDescent="0.2">
      <c r="A579" s="79"/>
      <c r="C579" s="80"/>
    </row>
    <row r="580" spans="1:3" ht="15.75" customHeight="1" x14ac:dyDescent="0.2">
      <c r="A580" s="79"/>
      <c r="C580" s="80"/>
    </row>
    <row r="581" spans="1:3" ht="15.75" customHeight="1" x14ac:dyDescent="0.2">
      <c r="A581" s="79"/>
      <c r="C581" s="80"/>
    </row>
    <row r="582" spans="1:3" ht="15.75" customHeight="1" x14ac:dyDescent="0.2">
      <c r="A582" s="79"/>
      <c r="C582" s="80"/>
    </row>
    <row r="583" spans="1:3" ht="15.75" customHeight="1" x14ac:dyDescent="0.2">
      <c r="A583" s="79"/>
      <c r="C583" s="80"/>
    </row>
    <row r="584" spans="1:3" ht="15.75" customHeight="1" x14ac:dyDescent="0.2">
      <c r="A584" s="79"/>
      <c r="C584" s="80"/>
    </row>
    <row r="585" spans="1:3" ht="15.75" customHeight="1" x14ac:dyDescent="0.2">
      <c r="A585" s="79"/>
      <c r="C585" s="80"/>
    </row>
    <row r="586" spans="1:3" ht="15.75" customHeight="1" x14ac:dyDescent="0.2">
      <c r="A586" s="79"/>
      <c r="C586" s="80"/>
    </row>
    <row r="587" spans="1:3" ht="15.75" customHeight="1" x14ac:dyDescent="0.2">
      <c r="A587" s="79"/>
      <c r="C587" s="80"/>
    </row>
    <row r="588" spans="1:3" ht="15.75" customHeight="1" x14ac:dyDescent="0.2">
      <c r="A588" s="79"/>
      <c r="C588" s="80"/>
    </row>
    <row r="589" spans="1:3" ht="15.75" customHeight="1" x14ac:dyDescent="0.2">
      <c r="A589" s="79"/>
      <c r="C589" s="80"/>
    </row>
    <row r="590" spans="1:3" ht="15.75" customHeight="1" x14ac:dyDescent="0.2">
      <c r="A590" s="79"/>
      <c r="C590" s="80"/>
    </row>
    <row r="591" spans="1:3" ht="15.75" customHeight="1" x14ac:dyDescent="0.2">
      <c r="A591" s="79"/>
      <c r="C591" s="80"/>
    </row>
    <row r="592" spans="1:3" ht="15.75" customHeight="1" x14ac:dyDescent="0.2">
      <c r="A592" s="79"/>
      <c r="C592" s="80"/>
    </row>
    <row r="593" spans="1:3" ht="15.75" customHeight="1" x14ac:dyDescent="0.2">
      <c r="A593" s="79"/>
      <c r="C593" s="80"/>
    </row>
    <row r="594" spans="1:3" ht="15.75" customHeight="1" x14ac:dyDescent="0.2">
      <c r="A594" s="79"/>
      <c r="C594" s="80"/>
    </row>
    <row r="595" spans="1:3" ht="15.75" customHeight="1" x14ac:dyDescent="0.2">
      <c r="A595" s="79"/>
      <c r="C595" s="80"/>
    </row>
    <row r="596" spans="1:3" ht="15.75" customHeight="1" x14ac:dyDescent="0.2">
      <c r="A596" s="79"/>
      <c r="C596" s="80"/>
    </row>
    <row r="597" spans="1:3" ht="15.75" customHeight="1" x14ac:dyDescent="0.2">
      <c r="A597" s="79"/>
      <c r="C597" s="80"/>
    </row>
    <row r="598" spans="1:3" ht="15.75" customHeight="1" x14ac:dyDescent="0.2">
      <c r="A598" s="79"/>
      <c r="C598" s="80"/>
    </row>
    <row r="599" spans="1:3" ht="15.75" customHeight="1" x14ac:dyDescent="0.2">
      <c r="A599" s="79"/>
      <c r="C599" s="80"/>
    </row>
    <row r="600" spans="1:3" ht="15.75" customHeight="1" x14ac:dyDescent="0.2">
      <c r="A600" s="79"/>
      <c r="C600" s="80"/>
    </row>
    <row r="601" spans="1:3" ht="15.75" customHeight="1" x14ac:dyDescent="0.2">
      <c r="A601" s="79"/>
      <c r="C601" s="80"/>
    </row>
    <row r="602" spans="1:3" ht="15.75" customHeight="1" x14ac:dyDescent="0.2">
      <c r="A602" s="79"/>
      <c r="C602" s="80"/>
    </row>
    <row r="603" spans="1:3" ht="15.75" customHeight="1" x14ac:dyDescent="0.2">
      <c r="A603" s="79"/>
      <c r="C603" s="80"/>
    </row>
    <row r="604" spans="1:3" ht="15.75" customHeight="1" x14ac:dyDescent="0.2">
      <c r="A604" s="79"/>
      <c r="C604" s="80"/>
    </row>
    <row r="605" spans="1:3" ht="15.75" customHeight="1" x14ac:dyDescent="0.2">
      <c r="A605" s="79"/>
      <c r="C605" s="80"/>
    </row>
    <row r="606" spans="1:3" ht="15.75" customHeight="1" x14ac:dyDescent="0.2">
      <c r="A606" s="79"/>
      <c r="C606" s="80"/>
    </row>
    <row r="607" spans="1:3" ht="15.75" customHeight="1" x14ac:dyDescent="0.2">
      <c r="A607" s="79"/>
      <c r="C607" s="80"/>
    </row>
    <row r="608" spans="1:3" ht="15.75" customHeight="1" x14ac:dyDescent="0.2">
      <c r="A608" s="79"/>
      <c r="C608" s="80"/>
    </row>
    <row r="609" spans="1:3" ht="15.75" customHeight="1" x14ac:dyDescent="0.2">
      <c r="A609" s="79"/>
      <c r="C609" s="80"/>
    </row>
    <row r="610" spans="1:3" ht="15.75" customHeight="1" x14ac:dyDescent="0.2">
      <c r="A610" s="79"/>
      <c r="C610" s="80"/>
    </row>
    <row r="611" spans="1:3" ht="15.75" customHeight="1" x14ac:dyDescent="0.2">
      <c r="A611" s="79"/>
      <c r="C611" s="80"/>
    </row>
    <row r="612" spans="1:3" ht="15.75" customHeight="1" x14ac:dyDescent="0.2">
      <c r="A612" s="79"/>
      <c r="C612" s="80"/>
    </row>
    <row r="613" spans="1:3" ht="15.75" customHeight="1" x14ac:dyDescent="0.2">
      <c r="A613" s="79"/>
      <c r="C613" s="80"/>
    </row>
    <row r="614" spans="1:3" ht="15.75" customHeight="1" x14ac:dyDescent="0.2">
      <c r="A614" s="79"/>
      <c r="C614" s="80"/>
    </row>
    <row r="615" spans="1:3" ht="15.75" customHeight="1" x14ac:dyDescent="0.2">
      <c r="A615" s="79"/>
      <c r="C615" s="80"/>
    </row>
    <row r="616" spans="1:3" ht="15.75" customHeight="1" x14ac:dyDescent="0.2">
      <c r="A616" s="79"/>
      <c r="C616" s="80"/>
    </row>
    <row r="617" spans="1:3" ht="15.75" customHeight="1" x14ac:dyDescent="0.2">
      <c r="A617" s="79"/>
      <c r="C617" s="80"/>
    </row>
    <row r="618" spans="1:3" ht="15.75" customHeight="1" x14ac:dyDescent="0.2">
      <c r="A618" s="79"/>
      <c r="C618" s="80"/>
    </row>
    <row r="619" spans="1:3" ht="15.75" customHeight="1" x14ac:dyDescent="0.2">
      <c r="A619" s="79"/>
      <c r="C619" s="80"/>
    </row>
    <row r="620" spans="1:3" ht="15.75" customHeight="1" x14ac:dyDescent="0.2">
      <c r="A620" s="79"/>
      <c r="C620" s="80"/>
    </row>
    <row r="621" spans="1:3" ht="15.75" customHeight="1" x14ac:dyDescent="0.2">
      <c r="A621" s="79"/>
      <c r="C621" s="80"/>
    </row>
    <row r="622" spans="1:3" ht="15.75" customHeight="1" x14ac:dyDescent="0.2">
      <c r="A622" s="79"/>
      <c r="C622" s="80"/>
    </row>
    <row r="623" spans="1:3" ht="15.75" customHeight="1" x14ac:dyDescent="0.2">
      <c r="A623" s="79"/>
      <c r="C623" s="80"/>
    </row>
    <row r="624" spans="1:3" ht="15.75" customHeight="1" x14ac:dyDescent="0.2">
      <c r="A624" s="79"/>
      <c r="C624" s="80"/>
    </row>
    <row r="625" spans="1:3" ht="15.75" customHeight="1" x14ac:dyDescent="0.2">
      <c r="A625" s="79"/>
      <c r="C625" s="80"/>
    </row>
    <row r="626" spans="1:3" ht="15.75" customHeight="1" x14ac:dyDescent="0.2">
      <c r="A626" s="79"/>
      <c r="C626" s="80"/>
    </row>
    <row r="627" spans="1:3" ht="15.75" customHeight="1" x14ac:dyDescent="0.2">
      <c r="A627" s="79"/>
      <c r="C627" s="80"/>
    </row>
    <row r="628" spans="1:3" ht="15.75" customHeight="1" x14ac:dyDescent="0.2">
      <c r="A628" s="79"/>
      <c r="C628" s="80"/>
    </row>
    <row r="629" spans="1:3" ht="15.75" customHeight="1" x14ac:dyDescent="0.2">
      <c r="A629" s="79"/>
      <c r="C629" s="80"/>
    </row>
    <row r="630" spans="1:3" ht="15.75" customHeight="1" x14ac:dyDescent="0.2">
      <c r="A630" s="79"/>
      <c r="C630" s="80"/>
    </row>
    <row r="631" spans="1:3" ht="15.75" customHeight="1" x14ac:dyDescent="0.2">
      <c r="A631" s="79"/>
      <c r="C631" s="80"/>
    </row>
    <row r="632" spans="1:3" ht="15.75" customHeight="1" x14ac:dyDescent="0.2">
      <c r="A632" s="79"/>
      <c r="C632" s="80"/>
    </row>
    <row r="633" spans="1:3" ht="15.75" customHeight="1" x14ac:dyDescent="0.2">
      <c r="A633" s="79"/>
      <c r="C633" s="80"/>
    </row>
    <row r="634" spans="1:3" ht="15.75" customHeight="1" x14ac:dyDescent="0.2">
      <c r="A634" s="79"/>
      <c r="C634" s="80"/>
    </row>
    <row r="635" spans="1:3" ht="15.75" customHeight="1" x14ac:dyDescent="0.2">
      <c r="A635" s="79"/>
      <c r="C635" s="80"/>
    </row>
    <row r="636" spans="1:3" ht="15.75" customHeight="1" x14ac:dyDescent="0.2">
      <c r="A636" s="79"/>
      <c r="C636" s="80"/>
    </row>
    <row r="637" spans="1:3" ht="15.75" customHeight="1" x14ac:dyDescent="0.2">
      <c r="A637" s="79"/>
      <c r="C637" s="80"/>
    </row>
    <row r="638" spans="1:3" ht="15.75" customHeight="1" x14ac:dyDescent="0.2">
      <c r="A638" s="79"/>
      <c r="C638" s="80"/>
    </row>
    <row r="639" spans="1:3" ht="15.75" customHeight="1" x14ac:dyDescent="0.2">
      <c r="A639" s="79"/>
      <c r="C639" s="80"/>
    </row>
    <row r="640" spans="1:3" ht="15.75" customHeight="1" x14ac:dyDescent="0.2">
      <c r="A640" s="79"/>
      <c r="C640" s="80"/>
    </row>
    <row r="641" spans="1:3" ht="15.75" customHeight="1" x14ac:dyDescent="0.2">
      <c r="A641" s="79"/>
      <c r="C641" s="80"/>
    </row>
    <row r="642" spans="1:3" ht="15.75" customHeight="1" x14ac:dyDescent="0.2">
      <c r="A642" s="79"/>
      <c r="C642" s="80"/>
    </row>
    <row r="643" spans="1:3" ht="15.75" customHeight="1" x14ac:dyDescent="0.2">
      <c r="A643" s="79"/>
      <c r="C643" s="80"/>
    </row>
    <row r="644" spans="1:3" ht="15.75" customHeight="1" x14ac:dyDescent="0.2">
      <c r="A644" s="79"/>
      <c r="C644" s="80"/>
    </row>
    <row r="645" spans="1:3" ht="15.75" customHeight="1" x14ac:dyDescent="0.2">
      <c r="A645" s="79"/>
      <c r="C645" s="80"/>
    </row>
    <row r="646" spans="1:3" ht="15.75" customHeight="1" x14ac:dyDescent="0.2">
      <c r="A646" s="79"/>
      <c r="C646" s="80"/>
    </row>
    <row r="647" spans="1:3" ht="15.75" customHeight="1" x14ac:dyDescent="0.2">
      <c r="A647" s="79"/>
      <c r="C647" s="80"/>
    </row>
    <row r="648" spans="1:3" ht="15.75" customHeight="1" x14ac:dyDescent="0.2">
      <c r="A648" s="79"/>
      <c r="C648" s="80"/>
    </row>
    <row r="649" spans="1:3" ht="15.75" customHeight="1" x14ac:dyDescent="0.2">
      <c r="A649" s="79"/>
      <c r="C649" s="80"/>
    </row>
    <row r="650" spans="1:3" ht="15.75" customHeight="1" x14ac:dyDescent="0.2">
      <c r="A650" s="79"/>
      <c r="C650" s="80"/>
    </row>
    <row r="651" spans="1:3" ht="15.75" customHeight="1" x14ac:dyDescent="0.2">
      <c r="A651" s="79"/>
      <c r="C651" s="80"/>
    </row>
    <row r="652" spans="1:3" ht="15.75" customHeight="1" x14ac:dyDescent="0.2">
      <c r="A652" s="79"/>
      <c r="C652" s="80"/>
    </row>
    <row r="653" spans="1:3" ht="15.75" customHeight="1" x14ac:dyDescent="0.2">
      <c r="A653" s="79"/>
      <c r="C653" s="80"/>
    </row>
    <row r="654" spans="1:3" ht="15.75" customHeight="1" x14ac:dyDescent="0.2">
      <c r="A654" s="79"/>
      <c r="C654" s="80"/>
    </row>
    <row r="655" spans="1:3" ht="15.75" customHeight="1" x14ac:dyDescent="0.2">
      <c r="A655" s="79"/>
      <c r="C655" s="80"/>
    </row>
    <row r="656" spans="1:3" ht="15.75" customHeight="1" x14ac:dyDescent="0.2">
      <c r="A656" s="79"/>
      <c r="C656" s="80"/>
    </row>
    <row r="657" spans="1:3" ht="15.75" customHeight="1" x14ac:dyDescent="0.2">
      <c r="A657" s="79"/>
      <c r="C657" s="80"/>
    </row>
    <row r="658" spans="1:3" ht="15.75" customHeight="1" x14ac:dyDescent="0.2">
      <c r="A658" s="79"/>
      <c r="C658" s="80"/>
    </row>
    <row r="659" spans="1:3" ht="15.75" customHeight="1" x14ac:dyDescent="0.2">
      <c r="A659" s="79"/>
      <c r="C659" s="80"/>
    </row>
    <row r="660" spans="1:3" ht="15.75" customHeight="1" x14ac:dyDescent="0.2">
      <c r="A660" s="79"/>
      <c r="C660" s="80"/>
    </row>
    <row r="661" spans="1:3" ht="15.75" customHeight="1" x14ac:dyDescent="0.2">
      <c r="A661" s="79"/>
      <c r="C661" s="80"/>
    </row>
    <row r="662" spans="1:3" ht="15.75" customHeight="1" x14ac:dyDescent="0.2">
      <c r="A662" s="79"/>
      <c r="C662" s="80"/>
    </row>
    <row r="663" spans="1:3" ht="15.75" customHeight="1" x14ac:dyDescent="0.2">
      <c r="A663" s="79"/>
      <c r="C663" s="80"/>
    </row>
    <row r="664" spans="1:3" ht="15.75" customHeight="1" x14ac:dyDescent="0.2">
      <c r="A664" s="79"/>
      <c r="C664" s="80"/>
    </row>
    <row r="665" spans="1:3" ht="15.75" customHeight="1" x14ac:dyDescent="0.2">
      <c r="A665" s="79"/>
      <c r="C665" s="80"/>
    </row>
    <row r="666" spans="1:3" ht="15.75" customHeight="1" x14ac:dyDescent="0.2">
      <c r="A666" s="79"/>
      <c r="C666" s="80"/>
    </row>
    <row r="667" spans="1:3" ht="15.75" customHeight="1" x14ac:dyDescent="0.2">
      <c r="A667" s="79"/>
      <c r="C667" s="80"/>
    </row>
    <row r="668" spans="1:3" ht="15.75" customHeight="1" x14ac:dyDescent="0.2">
      <c r="A668" s="79"/>
      <c r="C668" s="80"/>
    </row>
    <row r="669" spans="1:3" ht="15.75" customHeight="1" x14ac:dyDescent="0.2">
      <c r="A669" s="79"/>
      <c r="C669" s="80"/>
    </row>
    <row r="670" spans="1:3" ht="15.75" customHeight="1" x14ac:dyDescent="0.2">
      <c r="A670" s="79"/>
      <c r="C670" s="80"/>
    </row>
    <row r="671" spans="1:3" ht="15.75" customHeight="1" x14ac:dyDescent="0.2">
      <c r="A671" s="79"/>
      <c r="C671" s="80"/>
    </row>
    <row r="672" spans="1:3" ht="15.75" customHeight="1" x14ac:dyDescent="0.2">
      <c r="A672" s="79"/>
      <c r="C672" s="80"/>
    </row>
    <row r="673" spans="1:3" ht="15.75" customHeight="1" x14ac:dyDescent="0.2">
      <c r="A673" s="79"/>
      <c r="C673" s="80"/>
    </row>
    <row r="674" spans="1:3" ht="15.75" customHeight="1" x14ac:dyDescent="0.2">
      <c r="A674" s="79"/>
      <c r="C674" s="80"/>
    </row>
    <row r="675" spans="1:3" ht="15.75" customHeight="1" x14ac:dyDescent="0.2">
      <c r="A675" s="79"/>
      <c r="C675" s="80"/>
    </row>
    <row r="676" spans="1:3" ht="15.75" customHeight="1" x14ac:dyDescent="0.2">
      <c r="A676" s="79"/>
      <c r="C676" s="80"/>
    </row>
    <row r="677" spans="1:3" ht="15.75" customHeight="1" x14ac:dyDescent="0.2">
      <c r="A677" s="79"/>
      <c r="C677" s="80"/>
    </row>
    <row r="678" spans="1:3" ht="15.75" customHeight="1" x14ac:dyDescent="0.2">
      <c r="A678" s="79"/>
      <c r="C678" s="80"/>
    </row>
    <row r="679" spans="1:3" ht="15.75" customHeight="1" x14ac:dyDescent="0.2">
      <c r="A679" s="79"/>
      <c r="C679" s="80"/>
    </row>
    <row r="680" spans="1:3" ht="15.75" customHeight="1" x14ac:dyDescent="0.2">
      <c r="A680" s="79"/>
      <c r="C680" s="80"/>
    </row>
    <row r="681" spans="1:3" ht="15.75" customHeight="1" x14ac:dyDescent="0.2">
      <c r="A681" s="79"/>
      <c r="C681" s="80"/>
    </row>
    <row r="682" spans="1:3" ht="15.75" customHeight="1" x14ac:dyDescent="0.2">
      <c r="A682" s="79"/>
      <c r="C682" s="80"/>
    </row>
    <row r="683" spans="1:3" ht="15.75" customHeight="1" x14ac:dyDescent="0.2">
      <c r="A683" s="79"/>
      <c r="C683" s="80"/>
    </row>
    <row r="684" spans="1:3" ht="15.75" customHeight="1" x14ac:dyDescent="0.2">
      <c r="A684" s="79"/>
      <c r="C684" s="80"/>
    </row>
    <row r="685" spans="1:3" ht="15.75" customHeight="1" x14ac:dyDescent="0.2">
      <c r="A685" s="79"/>
      <c r="C685" s="80"/>
    </row>
    <row r="686" spans="1:3" ht="15.75" customHeight="1" x14ac:dyDescent="0.2">
      <c r="A686" s="79"/>
      <c r="C686" s="80"/>
    </row>
    <row r="687" spans="1:3" ht="15.75" customHeight="1" x14ac:dyDescent="0.2">
      <c r="A687" s="79"/>
      <c r="C687" s="80"/>
    </row>
    <row r="688" spans="1:3" ht="15.75" customHeight="1" x14ac:dyDescent="0.2">
      <c r="A688" s="79"/>
      <c r="C688" s="80"/>
    </row>
    <row r="689" spans="1:3" ht="15.75" customHeight="1" x14ac:dyDescent="0.2">
      <c r="A689" s="79"/>
      <c r="C689" s="80"/>
    </row>
    <row r="690" spans="1:3" ht="15.75" customHeight="1" x14ac:dyDescent="0.2">
      <c r="A690" s="79"/>
      <c r="C690" s="80"/>
    </row>
    <row r="691" spans="1:3" ht="15.75" customHeight="1" x14ac:dyDescent="0.2">
      <c r="A691" s="79"/>
      <c r="C691" s="80"/>
    </row>
    <row r="692" spans="1:3" ht="15.75" customHeight="1" x14ac:dyDescent="0.2">
      <c r="A692" s="79"/>
      <c r="C692" s="80"/>
    </row>
    <row r="693" spans="1:3" ht="15.75" customHeight="1" x14ac:dyDescent="0.2">
      <c r="A693" s="79"/>
      <c r="C693" s="80"/>
    </row>
    <row r="694" spans="1:3" ht="15.75" customHeight="1" x14ac:dyDescent="0.2">
      <c r="A694" s="79"/>
      <c r="C694" s="80"/>
    </row>
    <row r="695" spans="1:3" ht="15.75" customHeight="1" x14ac:dyDescent="0.2">
      <c r="A695" s="79"/>
      <c r="C695" s="80"/>
    </row>
    <row r="696" spans="1:3" ht="15.75" customHeight="1" x14ac:dyDescent="0.2">
      <c r="A696" s="79"/>
      <c r="C696" s="80"/>
    </row>
    <row r="697" spans="1:3" ht="15.75" customHeight="1" x14ac:dyDescent="0.2">
      <c r="A697" s="79"/>
      <c r="C697" s="80"/>
    </row>
    <row r="698" spans="1:3" ht="15.75" customHeight="1" x14ac:dyDescent="0.2">
      <c r="A698" s="79"/>
      <c r="C698" s="80"/>
    </row>
    <row r="699" spans="1:3" ht="15.75" customHeight="1" x14ac:dyDescent="0.2">
      <c r="A699" s="79"/>
      <c r="C699" s="80"/>
    </row>
    <row r="700" spans="1:3" ht="15.75" customHeight="1" x14ac:dyDescent="0.2">
      <c r="A700" s="79"/>
      <c r="C700" s="80"/>
    </row>
    <row r="701" spans="1:3" ht="15.75" customHeight="1" x14ac:dyDescent="0.2">
      <c r="A701" s="79"/>
      <c r="C701" s="80"/>
    </row>
    <row r="702" spans="1:3" ht="15.75" customHeight="1" x14ac:dyDescent="0.2">
      <c r="A702" s="79"/>
      <c r="C702" s="80"/>
    </row>
    <row r="703" spans="1:3" ht="15.75" customHeight="1" x14ac:dyDescent="0.2">
      <c r="A703" s="79"/>
      <c r="C703" s="80"/>
    </row>
    <row r="704" spans="1:3" ht="15.75" customHeight="1" x14ac:dyDescent="0.2">
      <c r="A704" s="79"/>
      <c r="C704" s="80"/>
    </row>
    <row r="705" spans="1:3" ht="15.75" customHeight="1" x14ac:dyDescent="0.2">
      <c r="A705" s="79"/>
      <c r="C705" s="80"/>
    </row>
    <row r="706" spans="1:3" ht="15.75" customHeight="1" x14ac:dyDescent="0.2">
      <c r="A706" s="79"/>
      <c r="C706" s="80"/>
    </row>
    <row r="707" spans="1:3" ht="15.75" customHeight="1" x14ac:dyDescent="0.2">
      <c r="A707" s="79"/>
      <c r="C707" s="80"/>
    </row>
    <row r="708" spans="1:3" ht="15.75" customHeight="1" x14ac:dyDescent="0.2">
      <c r="A708" s="79"/>
      <c r="C708" s="80"/>
    </row>
    <row r="709" spans="1:3" ht="15.75" customHeight="1" x14ac:dyDescent="0.2">
      <c r="A709" s="79"/>
      <c r="C709" s="80"/>
    </row>
    <row r="710" spans="1:3" ht="15.75" customHeight="1" x14ac:dyDescent="0.2">
      <c r="A710" s="79"/>
      <c r="C710" s="80"/>
    </row>
    <row r="711" spans="1:3" ht="15.75" customHeight="1" x14ac:dyDescent="0.2">
      <c r="A711" s="79"/>
      <c r="C711" s="80"/>
    </row>
    <row r="712" spans="1:3" ht="15.75" customHeight="1" x14ac:dyDescent="0.2">
      <c r="A712" s="79"/>
      <c r="C712" s="80"/>
    </row>
    <row r="713" spans="1:3" ht="15.75" customHeight="1" x14ac:dyDescent="0.2">
      <c r="A713" s="79"/>
      <c r="C713" s="80"/>
    </row>
    <row r="714" spans="1:3" ht="15.75" customHeight="1" x14ac:dyDescent="0.2">
      <c r="A714" s="79"/>
      <c r="C714" s="80"/>
    </row>
    <row r="715" spans="1:3" ht="15.75" customHeight="1" x14ac:dyDescent="0.2">
      <c r="A715" s="79"/>
      <c r="C715" s="80"/>
    </row>
    <row r="716" spans="1:3" ht="15.75" customHeight="1" x14ac:dyDescent="0.2">
      <c r="A716" s="79"/>
      <c r="C716" s="80"/>
    </row>
    <row r="717" spans="1:3" ht="15.75" customHeight="1" x14ac:dyDescent="0.2">
      <c r="A717" s="79"/>
      <c r="C717" s="80"/>
    </row>
    <row r="718" spans="1:3" ht="15.75" customHeight="1" x14ac:dyDescent="0.2">
      <c r="A718" s="79"/>
      <c r="C718" s="80"/>
    </row>
    <row r="719" spans="1:3" ht="15.75" customHeight="1" x14ac:dyDescent="0.2">
      <c r="A719" s="79"/>
      <c r="C719" s="80"/>
    </row>
    <row r="720" spans="1:3" ht="15.75" customHeight="1" x14ac:dyDescent="0.2">
      <c r="A720" s="79"/>
      <c r="C720" s="80"/>
    </row>
    <row r="721" spans="1:3" ht="15.75" customHeight="1" x14ac:dyDescent="0.2">
      <c r="A721" s="79"/>
      <c r="C721" s="80"/>
    </row>
    <row r="722" spans="1:3" ht="15.75" customHeight="1" x14ac:dyDescent="0.2">
      <c r="A722" s="79"/>
      <c r="C722" s="80"/>
    </row>
    <row r="723" spans="1:3" ht="15.75" customHeight="1" x14ac:dyDescent="0.2">
      <c r="A723" s="79"/>
      <c r="C723" s="80"/>
    </row>
    <row r="724" spans="1:3" ht="15.75" customHeight="1" x14ac:dyDescent="0.2">
      <c r="A724" s="79"/>
      <c r="C724" s="80"/>
    </row>
    <row r="725" spans="1:3" ht="15.75" customHeight="1" x14ac:dyDescent="0.2">
      <c r="A725" s="79"/>
      <c r="C725" s="80"/>
    </row>
    <row r="726" spans="1:3" ht="15.75" customHeight="1" x14ac:dyDescent="0.2">
      <c r="A726" s="79"/>
      <c r="C726" s="80"/>
    </row>
    <row r="727" spans="1:3" ht="15.75" customHeight="1" x14ac:dyDescent="0.2">
      <c r="A727" s="79"/>
      <c r="C727" s="80"/>
    </row>
    <row r="728" spans="1:3" ht="15.75" customHeight="1" x14ac:dyDescent="0.2">
      <c r="A728" s="79"/>
      <c r="C728" s="80"/>
    </row>
    <row r="729" spans="1:3" ht="15.75" customHeight="1" x14ac:dyDescent="0.2">
      <c r="A729" s="79"/>
      <c r="C729" s="80"/>
    </row>
    <row r="730" spans="1:3" ht="15.75" customHeight="1" x14ac:dyDescent="0.2">
      <c r="A730" s="79"/>
      <c r="C730" s="80"/>
    </row>
    <row r="731" spans="1:3" ht="15.75" customHeight="1" x14ac:dyDescent="0.2">
      <c r="A731" s="79"/>
      <c r="C731" s="80"/>
    </row>
    <row r="732" spans="1:3" ht="15.75" customHeight="1" x14ac:dyDescent="0.2">
      <c r="A732" s="79"/>
      <c r="C732" s="80"/>
    </row>
    <row r="733" spans="1:3" ht="15.75" customHeight="1" x14ac:dyDescent="0.2">
      <c r="A733" s="79"/>
      <c r="C733" s="80"/>
    </row>
    <row r="734" spans="1:3" ht="15.75" customHeight="1" x14ac:dyDescent="0.2">
      <c r="A734" s="79"/>
      <c r="C734" s="80"/>
    </row>
    <row r="735" spans="1:3" ht="15.75" customHeight="1" x14ac:dyDescent="0.2">
      <c r="A735" s="79"/>
      <c r="C735" s="80"/>
    </row>
    <row r="736" spans="1:3" ht="15.75" customHeight="1" x14ac:dyDescent="0.2">
      <c r="A736" s="79"/>
      <c r="C736" s="80"/>
    </row>
    <row r="737" spans="1:3" ht="15.75" customHeight="1" x14ac:dyDescent="0.2">
      <c r="A737" s="79"/>
      <c r="C737" s="80"/>
    </row>
    <row r="738" spans="1:3" ht="15.75" customHeight="1" x14ac:dyDescent="0.2">
      <c r="A738" s="79"/>
      <c r="C738" s="80"/>
    </row>
    <row r="739" spans="1:3" ht="15.75" customHeight="1" x14ac:dyDescent="0.2">
      <c r="A739" s="79"/>
      <c r="C739" s="80"/>
    </row>
    <row r="740" spans="1:3" ht="15.75" customHeight="1" x14ac:dyDescent="0.2">
      <c r="A740" s="79"/>
      <c r="C740" s="80"/>
    </row>
    <row r="741" spans="1:3" ht="15.75" customHeight="1" x14ac:dyDescent="0.2">
      <c r="A741" s="79"/>
      <c r="C741" s="80"/>
    </row>
    <row r="742" spans="1:3" ht="15.75" customHeight="1" x14ac:dyDescent="0.2">
      <c r="A742" s="79"/>
      <c r="C742" s="80"/>
    </row>
    <row r="743" spans="1:3" ht="15.75" customHeight="1" x14ac:dyDescent="0.2">
      <c r="A743" s="79"/>
      <c r="C743" s="80"/>
    </row>
    <row r="744" spans="1:3" ht="15.75" customHeight="1" x14ac:dyDescent="0.2">
      <c r="A744" s="79"/>
      <c r="C744" s="80"/>
    </row>
    <row r="745" spans="1:3" ht="15.75" customHeight="1" x14ac:dyDescent="0.2">
      <c r="A745" s="79"/>
      <c r="C745" s="80"/>
    </row>
    <row r="746" spans="1:3" ht="15.75" customHeight="1" x14ac:dyDescent="0.2">
      <c r="A746" s="79"/>
      <c r="C746" s="80"/>
    </row>
    <row r="747" spans="1:3" ht="15.75" customHeight="1" x14ac:dyDescent="0.2">
      <c r="A747" s="79"/>
      <c r="C747" s="80"/>
    </row>
    <row r="748" spans="1:3" ht="15.75" customHeight="1" x14ac:dyDescent="0.2">
      <c r="A748" s="79"/>
      <c r="C748" s="80"/>
    </row>
    <row r="749" spans="1:3" ht="15.75" customHeight="1" x14ac:dyDescent="0.2">
      <c r="A749" s="79"/>
      <c r="C749" s="80"/>
    </row>
    <row r="750" spans="1:3" ht="15.75" customHeight="1" x14ac:dyDescent="0.2">
      <c r="A750" s="79"/>
      <c r="C750" s="80"/>
    </row>
    <row r="751" spans="1:3" ht="15.75" customHeight="1" x14ac:dyDescent="0.2">
      <c r="A751" s="79"/>
      <c r="C751" s="80"/>
    </row>
    <row r="752" spans="1:3" ht="15.75" customHeight="1" x14ac:dyDescent="0.2">
      <c r="A752" s="79"/>
      <c r="C752" s="80"/>
    </row>
    <row r="753" spans="1:3" ht="15.75" customHeight="1" x14ac:dyDescent="0.2">
      <c r="A753" s="79"/>
      <c r="C753" s="80"/>
    </row>
    <row r="754" spans="1:3" ht="15.75" customHeight="1" x14ac:dyDescent="0.2">
      <c r="A754" s="79"/>
      <c r="C754" s="80"/>
    </row>
    <row r="755" spans="1:3" ht="15.75" customHeight="1" x14ac:dyDescent="0.2">
      <c r="A755" s="79"/>
      <c r="C755" s="80"/>
    </row>
    <row r="756" spans="1:3" ht="15.75" customHeight="1" x14ac:dyDescent="0.2">
      <c r="A756" s="79"/>
      <c r="C756" s="80"/>
    </row>
    <row r="757" spans="1:3" ht="15.75" customHeight="1" x14ac:dyDescent="0.2">
      <c r="A757" s="79"/>
      <c r="C757" s="80"/>
    </row>
    <row r="758" spans="1:3" ht="15.75" customHeight="1" x14ac:dyDescent="0.2">
      <c r="A758" s="79"/>
      <c r="C758" s="80"/>
    </row>
    <row r="759" spans="1:3" ht="15.75" customHeight="1" x14ac:dyDescent="0.2">
      <c r="A759" s="79"/>
      <c r="C759" s="80"/>
    </row>
    <row r="760" spans="1:3" ht="15.75" customHeight="1" x14ac:dyDescent="0.2">
      <c r="A760" s="79"/>
      <c r="C760" s="80"/>
    </row>
    <row r="761" spans="1:3" ht="15.75" customHeight="1" x14ac:dyDescent="0.2">
      <c r="A761" s="79"/>
      <c r="C761" s="80"/>
    </row>
    <row r="762" spans="1:3" ht="15.75" customHeight="1" x14ac:dyDescent="0.2">
      <c r="A762" s="79"/>
      <c r="C762" s="80"/>
    </row>
    <row r="763" spans="1:3" ht="15.75" customHeight="1" x14ac:dyDescent="0.2">
      <c r="A763" s="79"/>
      <c r="C763" s="80"/>
    </row>
    <row r="764" spans="1:3" ht="15.75" customHeight="1" x14ac:dyDescent="0.2">
      <c r="A764" s="79"/>
      <c r="C764" s="80"/>
    </row>
    <row r="765" spans="1:3" ht="15.75" customHeight="1" x14ac:dyDescent="0.2">
      <c r="A765" s="79"/>
      <c r="C765" s="80"/>
    </row>
    <row r="766" spans="1:3" ht="15.75" customHeight="1" x14ac:dyDescent="0.2">
      <c r="A766" s="79"/>
      <c r="C766" s="80"/>
    </row>
    <row r="767" spans="1:3" ht="15.75" customHeight="1" x14ac:dyDescent="0.2">
      <c r="A767" s="79"/>
      <c r="C767" s="80"/>
    </row>
    <row r="768" spans="1:3" ht="15.75" customHeight="1" x14ac:dyDescent="0.2">
      <c r="A768" s="79"/>
      <c r="C768" s="80"/>
    </row>
    <row r="769" spans="1:3" ht="15.75" customHeight="1" x14ac:dyDescent="0.2">
      <c r="A769" s="79"/>
      <c r="C769" s="80"/>
    </row>
    <row r="770" spans="1:3" ht="15.75" customHeight="1" x14ac:dyDescent="0.2">
      <c r="A770" s="79"/>
      <c r="C770" s="80"/>
    </row>
    <row r="771" spans="1:3" ht="15.75" customHeight="1" x14ac:dyDescent="0.2">
      <c r="A771" s="79"/>
      <c r="C771" s="80"/>
    </row>
    <row r="772" spans="1:3" ht="15.75" customHeight="1" x14ac:dyDescent="0.2">
      <c r="A772" s="79"/>
      <c r="C772" s="80"/>
    </row>
    <row r="773" spans="1:3" ht="15.75" customHeight="1" x14ac:dyDescent="0.2">
      <c r="A773" s="79"/>
      <c r="C773" s="80"/>
    </row>
    <row r="774" spans="1:3" ht="15.75" customHeight="1" x14ac:dyDescent="0.2">
      <c r="A774" s="79"/>
      <c r="C774" s="80"/>
    </row>
    <row r="775" spans="1:3" ht="15.75" customHeight="1" x14ac:dyDescent="0.2">
      <c r="A775" s="79"/>
      <c r="C775" s="80"/>
    </row>
    <row r="776" spans="1:3" ht="15.75" customHeight="1" x14ac:dyDescent="0.2">
      <c r="A776" s="79"/>
      <c r="C776" s="80"/>
    </row>
    <row r="777" spans="1:3" ht="15.75" customHeight="1" x14ac:dyDescent="0.2">
      <c r="A777" s="79"/>
      <c r="C777" s="80"/>
    </row>
    <row r="778" spans="1:3" ht="15.75" customHeight="1" x14ac:dyDescent="0.2">
      <c r="A778" s="79"/>
      <c r="C778" s="80"/>
    </row>
    <row r="779" spans="1:3" ht="15.75" customHeight="1" x14ac:dyDescent="0.2">
      <c r="A779" s="79"/>
      <c r="C779" s="80"/>
    </row>
    <row r="780" spans="1:3" ht="15.75" customHeight="1" x14ac:dyDescent="0.2">
      <c r="A780" s="79"/>
      <c r="C780" s="80"/>
    </row>
    <row r="781" spans="1:3" ht="15.75" customHeight="1" x14ac:dyDescent="0.2">
      <c r="A781" s="79"/>
      <c r="C781" s="80"/>
    </row>
    <row r="782" spans="1:3" ht="15.75" customHeight="1" x14ac:dyDescent="0.2">
      <c r="A782" s="79"/>
      <c r="C782" s="80"/>
    </row>
    <row r="783" spans="1:3" ht="15.75" customHeight="1" x14ac:dyDescent="0.2">
      <c r="A783" s="79"/>
      <c r="C783" s="80"/>
    </row>
    <row r="784" spans="1:3" ht="15.75" customHeight="1" x14ac:dyDescent="0.2">
      <c r="A784" s="79"/>
      <c r="C784" s="80"/>
    </row>
    <row r="785" spans="1:3" ht="15.75" customHeight="1" x14ac:dyDescent="0.2">
      <c r="A785" s="79"/>
      <c r="C785" s="80"/>
    </row>
    <row r="786" spans="1:3" ht="15.75" customHeight="1" x14ac:dyDescent="0.2">
      <c r="A786" s="79"/>
      <c r="C786" s="80"/>
    </row>
    <row r="787" spans="1:3" ht="15.75" customHeight="1" x14ac:dyDescent="0.2">
      <c r="A787" s="79"/>
      <c r="C787" s="80"/>
    </row>
    <row r="788" spans="1:3" ht="15.75" customHeight="1" x14ac:dyDescent="0.2">
      <c r="A788" s="79"/>
      <c r="C788" s="80"/>
    </row>
    <row r="789" spans="1:3" ht="15.75" customHeight="1" x14ac:dyDescent="0.2">
      <c r="A789" s="79"/>
      <c r="C789" s="80"/>
    </row>
    <row r="790" spans="1:3" ht="15.75" customHeight="1" x14ac:dyDescent="0.2">
      <c r="A790" s="79"/>
      <c r="C790" s="80"/>
    </row>
    <row r="791" spans="1:3" ht="15.75" customHeight="1" x14ac:dyDescent="0.2">
      <c r="A791" s="79"/>
      <c r="C791" s="80"/>
    </row>
    <row r="792" spans="1:3" ht="15.75" customHeight="1" x14ac:dyDescent="0.2">
      <c r="A792" s="79"/>
      <c r="C792" s="80"/>
    </row>
    <row r="793" spans="1:3" ht="15.75" customHeight="1" x14ac:dyDescent="0.2">
      <c r="A793" s="79"/>
      <c r="C793" s="80"/>
    </row>
    <row r="794" spans="1:3" ht="15.75" customHeight="1" x14ac:dyDescent="0.2">
      <c r="A794" s="79"/>
      <c r="C794" s="80"/>
    </row>
    <row r="795" spans="1:3" ht="15.75" customHeight="1" x14ac:dyDescent="0.2">
      <c r="A795" s="79"/>
      <c r="C795" s="80"/>
    </row>
    <row r="796" spans="1:3" ht="15.75" customHeight="1" x14ac:dyDescent="0.2">
      <c r="A796" s="79"/>
      <c r="C796" s="80"/>
    </row>
    <row r="797" spans="1:3" ht="15.75" customHeight="1" x14ac:dyDescent="0.2">
      <c r="A797" s="79"/>
      <c r="C797" s="80"/>
    </row>
    <row r="798" spans="1:3" ht="15.75" customHeight="1" x14ac:dyDescent="0.2">
      <c r="A798" s="79"/>
      <c r="C798" s="80"/>
    </row>
    <row r="799" spans="1:3" ht="15.75" customHeight="1" x14ac:dyDescent="0.2">
      <c r="A799" s="79"/>
      <c r="C799" s="80"/>
    </row>
    <row r="800" spans="1:3" ht="15.75" customHeight="1" x14ac:dyDescent="0.2">
      <c r="A800" s="79"/>
      <c r="C800" s="80"/>
    </row>
    <row r="801" spans="1:3" ht="15.75" customHeight="1" x14ac:dyDescent="0.2">
      <c r="A801" s="79"/>
      <c r="C801" s="80"/>
    </row>
    <row r="802" spans="1:3" ht="15.75" customHeight="1" x14ac:dyDescent="0.2">
      <c r="A802" s="79"/>
      <c r="C802" s="80"/>
    </row>
    <row r="803" spans="1:3" ht="15.75" customHeight="1" x14ac:dyDescent="0.2">
      <c r="A803" s="79"/>
      <c r="C803" s="80"/>
    </row>
    <row r="804" spans="1:3" ht="15.75" customHeight="1" x14ac:dyDescent="0.2">
      <c r="A804" s="79"/>
      <c r="C804" s="80"/>
    </row>
    <row r="805" spans="1:3" ht="15.75" customHeight="1" x14ac:dyDescent="0.2">
      <c r="A805" s="79"/>
      <c r="C805" s="80"/>
    </row>
    <row r="806" spans="1:3" ht="15.75" customHeight="1" x14ac:dyDescent="0.2">
      <c r="A806" s="79"/>
      <c r="C806" s="80"/>
    </row>
    <row r="807" spans="1:3" ht="15.75" customHeight="1" x14ac:dyDescent="0.2">
      <c r="A807" s="79"/>
      <c r="C807" s="80"/>
    </row>
    <row r="808" spans="1:3" ht="15.75" customHeight="1" x14ac:dyDescent="0.2">
      <c r="A808" s="79"/>
      <c r="C808" s="80"/>
    </row>
    <row r="809" spans="1:3" ht="15.75" customHeight="1" x14ac:dyDescent="0.2">
      <c r="A809" s="79"/>
      <c r="C809" s="80"/>
    </row>
    <row r="810" spans="1:3" ht="15.75" customHeight="1" x14ac:dyDescent="0.2">
      <c r="A810" s="79"/>
      <c r="C810" s="80"/>
    </row>
    <row r="811" spans="1:3" ht="15.75" customHeight="1" x14ac:dyDescent="0.2">
      <c r="A811" s="79"/>
      <c r="C811" s="80"/>
    </row>
    <row r="812" spans="1:3" ht="15.75" customHeight="1" x14ac:dyDescent="0.2">
      <c r="A812" s="79"/>
      <c r="C812" s="80"/>
    </row>
    <row r="813" spans="1:3" ht="15.75" customHeight="1" x14ac:dyDescent="0.2">
      <c r="A813" s="79"/>
      <c r="C813" s="80"/>
    </row>
    <row r="814" spans="1:3" ht="15.75" customHeight="1" x14ac:dyDescent="0.2">
      <c r="A814" s="79"/>
      <c r="C814" s="80"/>
    </row>
    <row r="815" spans="1:3" ht="15.75" customHeight="1" x14ac:dyDescent="0.2">
      <c r="A815" s="79"/>
      <c r="C815" s="80"/>
    </row>
    <row r="816" spans="1:3" ht="15.75" customHeight="1" x14ac:dyDescent="0.2">
      <c r="A816" s="79"/>
      <c r="C816" s="80"/>
    </row>
    <row r="817" spans="1:3" ht="15.75" customHeight="1" x14ac:dyDescent="0.2">
      <c r="A817" s="79"/>
      <c r="C817" s="80"/>
    </row>
    <row r="818" spans="1:3" ht="15.75" customHeight="1" x14ac:dyDescent="0.2">
      <c r="A818" s="79"/>
      <c r="C818" s="80"/>
    </row>
    <row r="819" spans="1:3" ht="15.75" customHeight="1" x14ac:dyDescent="0.2">
      <c r="A819" s="79"/>
      <c r="C819" s="80"/>
    </row>
    <row r="820" spans="1:3" ht="15.75" customHeight="1" x14ac:dyDescent="0.2">
      <c r="A820" s="79"/>
      <c r="C820" s="80"/>
    </row>
    <row r="821" spans="1:3" ht="15.75" customHeight="1" x14ac:dyDescent="0.2">
      <c r="A821" s="79"/>
      <c r="C821" s="80"/>
    </row>
    <row r="822" spans="1:3" ht="15.75" customHeight="1" x14ac:dyDescent="0.2">
      <c r="A822" s="79"/>
      <c r="C822" s="80"/>
    </row>
    <row r="823" spans="1:3" ht="15.75" customHeight="1" x14ac:dyDescent="0.2">
      <c r="A823" s="79"/>
      <c r="C823" s="80"/>
    </row>
    <row r="824" spans="1:3" ht="15.75" customHeight="1" x14ac:dyDescent="0.2">
      <c r="A824" s="79"/>
      <c r="C824" s="80"/>
    </row>
    <row r="825" spans="1:3" ht="15.75" customHeight="1" x14ac:dyDescent="0.2">
      <c r="A825" s="79"/>
      <c r="C825" s="80"/>
    </row>
    <row r="826" spans="1:3" ht="15.75" customHeight="1" x14ac:dyDescent="0.2">
      <c r="A826" s="79"/>
      <c r="C826" s="80"/>
    </row>
    <row r="827" spans="1:3" ht="15.75" customHeight="1" x14ac:dyDescent="0.2">
      <c r="A827" s="79"/>
      <c r="C827" s="80"/>
    </row>
    <row r="828" spans="1:3" ht="15.75" customHeight="1" x14ac:dyDescent="0.2">
      <c r="A828" s="79"/>
      <c r="C828" s="80"/>
    </row>
    <row r="829" spans="1:3" ht="15.75" customHeight="1" x14ac:dyDescent="0.2">
      <c r="A829" s="79"/>
      <c r="C829" s="80"/>
    </row>
    <row r="830" spans="1:3" ht="15.75" customHeight="1" x14ac:dyDescent="0.2">
      <c r="A830" s="79"/>
      <c r="C830" s="80"/>
    </row>
    <row r="831" spans="1:3" ht="15.75" customHeight="1" x14ac:dyDescent="0.2">
      <c r="A831" s="79"/>
      <c r="C831" s="80"/>
    </row>
    <row r="832" spans="1:3" ht="15.75" customHeight="1" x14ac:dyDescent="0.2">
      <c r="A832" s="79"/>
      <c r="C832" s="80"/>
    </row>
    <row r="833" spans="1:3" ht="15.75" customHeight="1" x14ac:dyDescent="0.2">
      <c r="A833" s="79"/>
      <c r="C833" s="80"/>
    </row>
    <row r="834" spans="1:3" ht="15.75" customHeight="1" x14ac:dyDescent="0.2">
      <c r="A834" s="79"/>
      <c r="C834" s="80"/>
    </row>
    <row r="835" spans="1:3" ht="15.75" customHeight="1" x14ac:dyDescent="0.2">
      <c r="A835" s="79"/>
      <c r="C835" s="80"/>
    </row>
    <row r="836" spans="1:3" ht="15.75" customHeight="1" x14ac:dyDescent="0.2">
      <c r="A836" s="79"/>
      <c r="C836" s="80"/>
    </row>
    <row r="837" spans="1:3" ht="15.75" customHeight="1" x14ac:dyDescent="0.2">
      <c r="A837" s="79"/>
      <c r="C837" s="80"/>
    </row>
    <row r="838" spans="1:3" ht="15.75" customHeight="1" x14ac:dyDescent="0.2">
      <c r="A838" s="79"/>
      <c r="C838" s="80"/>
    </row>
    <row r="839" spans="1:3" ht="15.75" customHeight="1" x14ac:dyDescent="0.2">
      <c r="A839" s="79"/>
      <c r="C839" s="80"/>
    </row>
    <row r="840" spans="1:3" ht="15.75" customHeight="1" x14ac:dyDescent="0.2">
      <c r="A840" s="79"/>
      <c r="C840" s="80"/>
    </row>
    <row r="841" spans="1:3" ht="15.75" customHeight="1" x14ac:dyDescent="0.2">
      <c r="A841" s="79"/>
      <c r="C841" s="80"/>
    </row>
    <row r="842" spans="1:3" ht="15.75" customHeight="1" x14ac:dyDescent="0.2">
      <c r="A842" s="79"/>
      <c r="C842" s="80"/>
    </row>
    <row r="843" spans="1:3" ht="15.75" customHeight="1" x14ac:dyDescent="0.2">
      <c r="A843" s="79"/>
      <c r="C843" s="80"/>
    </row>
    <row r="844" spans="1:3" ht="15.75" customHeight="1" x14ac:dyDescent="0.2">
      <c r="A844" s="79"/>
      <c r="C844" s="80"/>
    </row>
    <row r="845" spans="1:3" ht="15.75" customHeight="1" x14ac:dyDescent="0.2">
      <c r="A845" s="79"/>
      <c r="C845" s="80"/>
    </row>
    <row r="846" spans="1:3" ht="15.75" customHeight="1" x14ac:dyDescent="0.2">
      <c r="A846" s="79"/>
      <c r="C846" s="80"/>
    </row>
    <row r="847" spans="1:3" ht="15.75" customHeight="1" x14ac:dyDescent="0.2">
      <c r="A847" s="79"/>
      <c r="C847" s="80"/>
    </row>
    <row r="848" spans="1:3" ht="15.75" customHeight="1" x14ac:dyDescent="0.2">
      <c r="A848" s="79"/>
      <c r="C848" s="80"/>
    </row>
    <row r="849" spans="1:3" ht="15.75" customHeight="1" x14ac:dyDescent="0.2">
      <c r="A849" s="79"/>
      <c r="C849" s="80"/>
    </row>
    <row r="850" spans="1:3" ht="15.75" customHeight="1" x14ac:dyDescent="0.2">
      <c r="A850" s="79"/>
      <c r="C850" s="80"/>
    </row>
    <row r="851" spans="1:3" ht="15.75" customHeight="1" x14ac:dyDescent="0.2">
      <c r="A851" s="79"/>
      <c r="C851" s="80"/>
    </row>
    <row r="852" spans="1:3" ht="15.75" customHeight="1" x14ac:dyDescent="0.2">
      <c r="A852" s="79"/>
      <c r="C852" s="80"/>
    </row>
    <row r="853" spans="1:3" ht="15.75" customHeight="1" x14ac:dyDescent="0.2">
      <c r="A853" s="79"/>
      <c r="C853" s="80"/>
    </row>
    <row r="854" spans="1:3" ht="15.75" customHeight="1" x14ac:dyDescent="0.2">
      <c r="A854" s="79"/>
      <c r="C854" s="80"/>
    </row>
    <row r="855" spans="1:3" ht="15.75" customHeight="1" x14ac:dyDescent="0.2">
      <c r="A855" s="79"/>
      <c r="C855" s="80"/>
    </row>
    <row r="856" spans="1:3" ht="15.75" customHeight="1" x14ac:dyDescent="0.2">
      <c r="A856" s="79"/>
      <c r="C856" s="80"/>
    </row>
    <row r="857" spans="1:3" ht="15.75" customHeight="1" x14ac:dyDescent="0.2">
      <c r="A857" s="79"/>
      <c r="C857" s="80"/>
    </row>
    <row r="858" spans="1:3" ht="15.75" customHeight="1" x14ac:dyDescent="0.2">
      <c r="A858" s="79"/>
      <c r="C858" s="80"/>
    </row>
    <row r="859" spans="1:3" ht="15.75" customHeight="1" x14ac:dyDescent="0.2">
      <c r="A859" s="79"/>
      <c r="C859" s="80"/>
    </row>
    <row r="860" spans="1:3" ht="15.75" customHeight="1" x14ac:dyDescent="0.2">
      <c r="A860" s="79"/>
      <c r="C860" s="80"/>
    </row>
    <row r="861" spans="1:3" ht="15.75" customHeight="1" x14ac:dyDescent="0.2">
      <c r="A861" s="79"/>
      <c r="C861" s="80"/>
    </row>
    <row r="862" spans="1:3" ht="15.75" customHeight="1" x14ac:dyDescent="0.2">
      <c r="A862" s="79"/>
      <c r="C862" s="80"/>
    </row>
    <row r="863" spans="1:3" ht="15.75" customHeight="1" x14ac:dyDescent="0.2">
      <c r="A863" s="79"/>
      <c r="C863" s="80"/>
    </row>
    <row r="864" spans="1:3" ht="15.75" customHeight="1" x14ac:dyDescent="0.2">
      <c r="A864" s="79"/>
      <c r="C864" s="80"/>
    </row>
    <row r="865" spans="1:3" ht="15.75" customHeight="1" x14ac:dyDescent="0.2">
      <c r="A865" s="79"/>
      <c r="C865" s="80"/>
    </row>
    <row r="866" spans="1:3" ht="15.75" customHeight="1" x14ac:dyDescent="0.2">
      <c r="A866" s="79"/>
      <c r="C866" s="80"/>
    </row>
    <row r="867" spans="1:3" ht="15.75" customHeight="1" x14ac:dyDescent="0.2">
      <c r="A867" s="79"/>
      <c r="C867" s="80"/>
    </row>
    <row r="868" spans="1:3" ht="15.75" customHeight="1" x14ac:dyDescent="0.2">
      <c r="A868" s="79"/>
      <c r="C868" s="80"/>
    </row>
    <row r="869" spans="1:3" ht="15.75" customHeight="1" x14ac:dyDescent="0.2">
      <c r="A869" s="79"/>
      <c r="C869" s="80"/>
    </row>
    <row r="870" spans="1:3" ht="15.75" customHeight="1" x14ac:dyDescent="0.2">
      <c r="A870" s="79"/>
      <c r="C870" s="80"/>
    </row>
    <row r="871" spans="1:3" ht="15.75" customHeight="1" x14ac:dyDescent="0.2">
      <c r="A871" s="79"/>
      <c r="C871" s="80"/>
    </row>
    <row r="872" spans="1:3" ht="15.75" customHeight="1" x14ac:dyDescent="0.2">
      <c r="A872" s="79"/>
      <c r="C872" s="80"/>
    </row>
    <row r="873" spans="1:3" ht="15.75" customHeight="1" x14ac:dyDescent="0.2">
      <c r="A873" s="79"/>
      <c r="C873" s="80"/>
    </row>
    <row r="874" spans="1:3" ht="15.75" customHeight="1" x14ac:dyDescent="0.2">
      <c r="A874" s="79"/>
      <c r="C874" s="80"/>
    </row>
    <row r="875" spans="1:3" ht="15.75" customHeight="1" x14ac:dyDescent="0.2">
      <c r="A875" s="79"/>
      <c r="C875" s="80"/>
    </row>
  </sheetData>
  <mergeCells count="28">
    <mergeCell ref="A43:I43"/>
    <mergeCell ref="A52:B52"/>
    <mergeCell ref="A53:B53"/>
    <mergeCell ref="C53:I53"/>
    <mergeCell ref="A54:B54"/>
    <mergeCell ref="D54:F54"/>
    <mergeCell ref="G54:I54"/>
    <mergeCell ref="A29:I29"/>
    <mergeCell ref="A38:B38"/>
    <mergeCell ref="A39:B39"/>
    <mergeCell ref="C39:I39"/>
    <mergeCell ref="A40:B40"/>
    <mergeCell ref="D40:F40"/>
    <mergeCell ref="G40:I40"/>
    <mergeCell ref="A15:I15"/>
    <mergeCell ref="A24:B24"/>
    <mergeCell ref="A25:B25"/>
    <mergeCell ref="C25:I25"/>
    <mergeCell ref="A26:B26"/>
    <mergeCell ref="D26:F26"/>
    <mergeCell ref="G26:I26"/>
    <mergeCell ref="A1:I1"/>
    <mergeCell ref="A10:B10"/>
    <mergeCell ref="A11:B11"/>
    <mergeCell ref="C11:I11"/>
    <mergeCell ref="A12:B12"/>
    <mergeCell ref="D12:F12"/>
    <mergeCell ref="G12:I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Dermeval Athayde Júnior</dc:creator>
  <cp:lastModifiedBy>Dermeval Athayde Júnior</cp:lastModifiedBy>
  <dcterms:created xsi:type="dcterms:W3CDTF">2026-04-07T20:19:26Z</dcterms:created>
  <dcterms:modified xsi:type="dcterms:W3CDTF">2026-06-02T16:06:44Z</dcterms:modified>
</cp:coreProperties>
</file>